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pu1\Desktop\学内助成_NDPデータ\授業資料2022\"/>
    </mc:Choice>
  </mc:AlternateContent>
  <xr:revisionPtr revIDLastSave="0" documentId="13_ncr:1_{50581D76-0827-4822-A935-6D9DFD707B7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results" sheetId="3" r:id="rId1"/>
    <sheet name="basic_data" sheetId="13" r:id="rId2"/>
    <sheet name="直接計算BMI" sheetId="15" r:id="rId3"/>
    <sheet name="BMI" sheetId="2" r:id="rId4"/>
    <sheet name="収縮期血圧" sheetId="6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_ctb１">'[1]現行DB一覧2(CT)'!$A$2:$E$220</definedName>
    <definedName name="__DAY01">#REF!</definedName>
    <definedName name="__DAY02">#REF!</definedName>
    <definedName name="__DAY03">#REF!</definedName>
    <definedName name="__DAY04">#REF!</definedName>
    <definedName name="__DAY05">#REF!</definedName>
    <definedName name="__DAY06">#REF!</definedName>
    <definedName name="__DAY07">#REF!</definedName>
    <definedName name="__DAY08">#REF!</definedName>
    <definedName name="__DAY09">#REF!</definedName>
    <definedName name="__DAY10">#REF!</definedName>
    <definedName name="__DAY11">#REF!</definedName>
    <definedName name="__DAY12">#REF!</definedName>
    <definedName name="__DAY13">#REF!</definedName>
    <definedName name="__DAY14">#REF!</definedName>
    <definedName name="__DAY15">#REF!</definedName>
    <definedName name="__DAY16">#REF!</definedName>
    <definedName name="_a1">#REF!</definedName>
    <definedName name="_a111111">#REF!</definedName>
    <definedName name="_ctb１">'[1]現行DB一覧2(CT)'!$A$2:$E$220</definedName>
    <definedName name="_DAY01">#REF!</definedName>
    <definedName name="_DAY02">#REF!</definedName>
    <definedName name="_DAY03">#REF!</definedName>
    <definedName name="_DAY04">#REF!</definedName>
    <definedName name="_DAY05">#REF!</definedName>
    <definedName name="_DAY06">#REF!</definedName>
    <definedName name="_DAY07">#REF!</definedName>
    <definedName name="_DAY08">#REF!</definedName>
    <definedName name="_DAY09">#REF!</definedName>
    <definedName name="_DAY10">#REF!</definedName>
    <definedName name="_DAY11">#REF!</definedName>
    <definedName name="_DAY12">#REF!</definedName>
    <definedName name="_DAY13">#REF!</definedName>
    <definedName name="_DAY14">#REF!</definedName>
    <definedName name="_DAY15">#REF!</definedName>
    <definedName name="_DAY16">#REF!</definedName>
    <definedName name="_xlnm._FilterDatabase" localSheetId="3" hidden="1">BMI!$A$1:$R$1</definedName>
    <definedName name="_xlnm._FilterDatabase" localSheetId="4" hidden="1">収縮期血圧!$A$1:$R$1</definedName>
    <definedName name="_wrn.月例報告." localSheetId="4" hidden="1">{"月例報告",#N/A,FALSE,"STB"}</definedName>
    <definedName name="_wrn.月例報告." localSheetId="2" hidden="1">{"月例報告",#N/A,FALSE,"STB"}</definedName>
    <definedName name="_wrn.月例報告." hidden="1">{"月例報告",#N/A,FALSE,"STB"}</definedName>
    <definedName name="a">#REF!</definedName>
    <definedName name="AccessDatabase" hidden="1">"C:\Documents and Settings\kawana.OHSAKI\My Documents\作業中\ＤＢらいぶらり.mdb"</definedName>
    <definedName name="b">#REF!</definedName>
    <definedName name="Contact01">#REF!</definedName>
    <definedName name="CTLGP">#REF!</definedName>
    <definedName name="d">[2]TB!$B$2:$B$52</definedName>
    <definedName name="e" localSheetId="4">#REF!</definedName>
    <definedName name="e" localSheetId="2">#REF!</definedName>
    <definedName name="e">#REF!</definedName>
    <definedName name="EJBラインテスト件数" localSheetId="2">[3]ＰＴ障害状況!#REF!</definedName>
    <definedName name="EJBラインテスト件数">[3]ＰＴ障害状況!#REF!</definedName>
    <definedName name="EJBラインバグ件数" localSheetId="2">[3]ＰＴ障害状況!#REF!</definedName>
    <definedName name="EJBラインバグ件数">[3]ＰＴ障害状況!#REF!</definedName>
    <definedName name="f" localSheetId="4">#REF!</definedName>
    <definedName name="f" localSheetId="2">#REF!</definedName>
    <definedName name="f">#REF!</definedName>
    <definedName name="g" localSheetId="4">#REF!</definedName>
    <definedName name="g" localSheetId="2">#REF!</definedName>
    <definedName name="g">#REF!</definedName>
    <definedName name="h" localSheetId="4">#REF!</definedName>
    <definedName name="h" localSheetId="2">#REF!</definedName>
    <definedName name="h">#REF!</definedName>
    <definedName name="i">#REF!</definedName>
    <definedName name="j">#REF!</definedName>
    <definedName name="k">#REF!</definedName>
    <definedName name="l">#REF!</definedName>
    <definedName name="m">#REF!</definedName>
    <definedName name="n">#REF!</definedName>
    <definedName name="o">#REF!</definedName>
    <definedName name="PA">#REF!</definedName>
    <definedName name="pc">"グループ 260"</definedName>
    <definedName name="_xlnm.Print_Area" localSheetId="3">BMI!$A$1:$R$240</definedName>
    <definedName name="_xlnm.Print_Area" localSheetId="4">#REF!</definedName>
    <definedName name="_xlnm.Print_Area" localSheetId="2">#REF!</definedName>
    <definedName name="_xlnm.Print_Area">#REF!</definedName>
    <definedName name="print_area1" localSheetId="4">#REF!</definedName>
    <definedName name="print_area1" localSheetId="2">#REF!</definedName>
    <definedName name="print_area1">#REF!</definedName>
    <definedName name="_xlnm.Print_Titles" localSheetId="3">BMI!$1:$5</definedName>
    <definedName name="_xlnm.Print_Titles" localSheetId="4">収縮期血圧!$1:$5</definedName>
    <definedName name="s" localSheetId="4">#REF!</definedName>
    <definedName name="s" localSheetId="2">#REF!</definedName>
    <definedName name="s">#REF!</definedName>
    <definedName name="SubSySID" localSheetId="4">#REF!</definedName>
    <definedName name="SubSySID" localSheetId="2">#REF!</definedName>
    <definedName name="SubSySID">#REF!</definedName>
    <definedName name="TODAY" localSheetId="4">#REF!</definedName>
    <definedName name="TODAY" localSheetId="2">#REF!</definedName>
    <definedName name="TODAY">#REF!</definedName>
    <definedName name="wrn.月例報告." localSheetId="4" hidden="1">{"月例報告",#N/A,FALSE,"STB"}</definedName>
    <definedName name="wrn.月例報告." localSheetId="2" hidden="1">{"月例報告",#N/A,FALSE,"STB"}</definedName>
    <definedName name="wrn.月例報告." hidden="1">{"月例報告",#N/A,FALSE,"STB"}</definedName>
    <definedName name="Ｘ">#REF!</definedName>
    <definedName name="あ">#REF!</definedName>
    <definedName name="あＺ">#REF!</definedName>
    <definedName name="サブシステムＩＤ">[4]参照!$C$6:$C$8</definedName>
    <definedName name="サブシステム名">[4]参照!$D$6:$D$8</definedName>
    <definedName name="画面ラインテスト件数">[3]ＰＴ障害状況!#REF!</definedName>
    <definedName name="画面ラインバグ件数">[3]ＰＴ障害状況!#REF!</definedName>
    <definedName name="機能">[5]Sheet2!$A$1:$A$4</definedName>
    <definedName name="作成頻度リスト" localSheetId="4">#REF!</definedName>
    <definedName name="作成頻度リスト" localSheetId="2">#REF!</definedName>
    <definedName name="作成頻度リスト">#REF!</definedName>
    <definedName name="主管部署ＩＤ" localSheetId="2">[4]参照!#REF!</definedName>
    <definedName name="主管部署ＩＤ">[4]参照!#REF!</definedName>
    <definedName name="主管部署名" localSheetId="2">[4]参照!#REF!</definedName>
    <definedName name="主管部署名">[4]参照!#REF!</definedName>
    <definedName name="受託">[6]TB!$B$2:$B$52</definedName>
    <definedName name="受託１">[2]TB!$B$2:$B$52</definedName>
    <definedName name="終わり" localSheetId="4">#REF!</definedName>
    <definedName name="終わり" localSheetId="2">#REF!</definedName>
    <definedName name="終わり">#REF!</definedName>
    <definedName name="設計状態リスト" localSheetId="4">#REF!</definedName>
    <definedName name="設計状態リスト" localSheetId="2">#REF!</definedName>
    <definedName name="設計状態リスト">#REF!</definedName>
    <definedName name="属性">[7]参照!$C$27:$C$39</definedName>
    <definedName name="大分類リスト" localSheetId="4">#REF!</definedName>
    <definedName name="大分類リスト" localSheetId="2">#REF!</definedName>
    <definedName name="大分類リスト">#REF!</definedName>
    <definedName name="単体価格" localSheetId="4">#REF!</definedName>
    <definedName name="単体価格" localSheetId="2">#REF!</definedName>
    <definedName name="単体価格">#REF!</definedName>
    <definedName name="単体価格広島" localSheetId="4">#REF!</definedName>
    <definedName name="単体価格広島" localSheetId="2">#REF!</definedName>
    <definedName name="単体価格広島">#REF!</definedName>
    <definedName name="単体価格福岡">#REF!</definedName>
    <definedName name="中分類リスト">#REF!</definedName>
    <definedName name="版数">MAX([8]変更履歴!$A$7:$B$17)</definedName>
    <definedName name="変更日">MAX([8]変更履歴!$C$7:$E$17)</definedName>
    <definedName name="簿価残災対" localSheetId="4">#REF!</definedName>
    <definedName name="簿価残災対" localSheetId="2">#REF!</definedName>
    <definedName name="簿価残災対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5" l="1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C12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C7" i="15"/>
  <c r="E11" i="15" l="1"/>
  <c r="F11" i="15"/>
  <c r="F13" i="15" s="1"/>
  <c r="G11" i="15"/>
  <c r="G13" i="15" s="1"/>
  <c r="H11" i="15"/>
  <c r="H13" i="15" s="1"/>
  <c r="I11" i="15"/>
  <c r="J11" i="15"/>
  <c r="J13" i="15" s="1"/>
  <c r="K11" i="15"/>
  <c r="L11" i="15"/>
  <c r="L13" i="15" s="1"/>
  <c r="M11" i="15"/>
  <c r="N11" i="15"/>
  <c r="N13" i="15" s="1"/>
  <c r="O11" i="15"/>
  <c r="O13" i="15" s="1"/>
  <c r="P11" i="15"/>
  <c r="P13" i="15" s="1"/>
  <c r="Q11" i="15"/>
  <c r="Q13" i="15" s="1"/>
  <c r="R11" i="15"/>
  <c r="R13" i="15" s="1"/>
  <c r="D11" i="15"/>
  <c r="D13" i="15" s="1"/>
  <c r="C11" i="15"/>
  <c r="C13" i="15" s="1"/>
  <c r="G6" i="15"/>
  <c r="G8" i="15" s="1"/>
  <c r="H6" i="15"/>
  <c r="H8" i="15" s="1"/>
  <c r="I6" i="15"/>
  <c r="I8" i="15" s="1"/>
  <c r="J6" i="15"/>
  <c r="J8" i="15" s="1"/>
  <c r="K6" i="15"/>
  <c r="L6" i="15"/>
  <c r="L8" i="15" s="1"/>
  <c r="M6" i="15"/>
  <c r="M8" i="15" s="1"/>
  <c r="N6" i="15"/>
  <c r="N8" i="15" s="1"/>
  <c r="O6" i="15"/>
  <c r="O8" i="15" s="1"/>
  <c r="P6" i="15"/>
  <c r="Q6" i="15"/>
  <c r="Q8" i="15" s="1"/>
  <c r="R6" i="15"/>
  <c r="R8" i="15" s="1"/>
  <c r="D6" i="15"/>
  <c r="E6" i="15"/>
  <c r="E8" i="15" s="1"/>
  <c r="F6" i="15"/>
  <c r="F8" i="15" s="1"/>
  <c r="C6" i="15"/>
  <c r="C8" i="15" s="1"/>
  <c r="M13" i="15"/>
  <c r="K13" i="15"/>
  <c r="I13" i="15"/>
  <c r="E13" i="15"/>
  <c r="U12" i="15"/>
  <c r="T12" i="15"/>
  <c r="S12" i="15"/>
  <c r="P8" i="15"/>
  <c r="K8" i="15"/>
  <c r="D8" i="15"/>
  <c r="U7" i="15"/>
  <c r="T7" i="15"/>
  <c r="S7" i="15"/>
  <c r="S13" i="15" l="1"/>
  <c r="S14" i="15" s="1"/>
  <c r="U13" i="15"/>
  <c r="U14" i="15" s="1"/>
  <c r="U8" i="15"/>
  <c r="U9" i="15" s="1"/>
  <c r="T13" i="15"/>
  <c r="T14" i="15" s="1"/>
  <c r="T8" i="15"/>
  <c r="T9" i="15" s="1"/>
  <c r="S8" i="15"/>
  <c r="S9" i="15" s="1"/>
</calcChain>
</file>

<file path=xl/sharedStrings.xml><?xml version="1.0" encoding="utf-8"?>
<sst xmlns="http://schemas.openxmlformats.org/spreadsheetml/2006/main" count="857" uniqueCount="94">
  <si>
    <t>特定健診(BMI)：H29年度　※集計結果が10未満の場合は「‐」で表示（10未満の箇所が1箇所の場合は10以上の最小値を全て「‐」で表示）</t>
    <phoneticPr fontId="3"/>
  </si>
  <si>
    <t>都道府県名</t>
  </si>
  <si>
    <t>検査値階層
（kg/㎡）</t>
  </si>
  <si>
    <t>全体</t>
    <rPh sb="0" eb="2">
      <t>ゼンタイ</t>
    </rPh>
    <phoneticPr fontId="4"/>
  </si>
  <si>
    <t>男</t>
  </si>
  <si>
    <t>女</t>
  </si>
  <si>
    <t>40～44歳</t>
  </si>
  <si>
    <t>45～49歳</t>
  </si>
  <si>
    <t>50～54歳</t>
  </si>
  <si>
    <t>55～59歳</t>
  </si>
  <si>
    <t>60～64歳</t>
  </si>
  <si>
    <t>65～69歳</t>
  </si>
  <si>
    <t>70～74歳</t>
  </si>
  <si>
    <t>中計</t>
  </si>
  <si>
    <t>人数</t>
  </si>
  <si>
    <t>北海道</t>
  </si>
  <si>
    <t>30.0以上</t>
  </si>
  <si>
    <t>25.0以上30.0未満</t>
  </si>
  <si>
    <t>20.0以上25.0未満</t>
  </si>
  <si>
    <t>18.5以上20.0未満</t>
  </si>
  <si>
    <t>18.5未満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</si>
  <si>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</si>
  <si>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</si>
  <si>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</si>
  <si>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</si>
  <si>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</si>
  <si>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</si>
  <si>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</si>
  <si>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</si>
  <si>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</si>
  <si>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</si>
  <si>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</si>
  <si>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</si>
  <si>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</si>
  <si>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</si>
  <si>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</si>
  <si>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</si>
  <si>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</si>
  <si>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</si>
  <si>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</si>
  <si>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</si>
  <si>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</si>
  <si>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</si>
  <si>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</si>
  <si>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</si>
  <si>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</si>
  <si>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</si>
  <si>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</si>
  <si>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</si>
  <si>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</si>
  <si>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</si>
  <si>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</si>
  <si>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</si>
  <si>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</si>
  <si>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</si>
  <si>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</si>
  <si>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</si>
  <si>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</si>
  <si>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</si>
  <si>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</si>
  <si>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</si>
  <si>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</si>
  <si>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</si>
  <si>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</si>
  <si>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</si>
  <si>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</si>
  <si>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</si>
  <si>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特定健診(収縮期血圧)：H29年度　※集計結果が10未満の場合は「‐」で表示（10未満の箇所が1箇所の場合は10以上の最小値を全て「‐」で表示）</t>
    <phoneticPr fontId="3"/>
  </si>
  <si>
    <t>検査値階層
（mmHg）</t>
  </si>
  <si>
    <t>180以上</t>
  </si>
  <si>
    <t>160以上180未満</t>
  </si>
  <si>
    <t>140以上160未満</t>
  </si>
  <si>
    <t>130以上140未満</t>
  </si>
  <si>
    <t>120以上130未満</t>
  </si>
  <si>
    <t>120未満</t>
  </si>
  <si>
    <t>日本人人口</t>
    <rPh sb="0" eb="3">
      <t>ニホンジン</t>
    </rPh>
    <rPh sb="3" eb="5">
      <t>ジンコウ</t>
    </rPh>
    <phoneticPr fontId="2"/>
  </si>
  <si>
    <t>中計</t>
    <rPh sb="0" eb="2">
      <t>チュウケイ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</si>
  <si>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</si>
  <si>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</si>
  <si>
    <t>中計</t>
    <rPh sb="0" eb="2">
      <t>チュウケイ</t>
    </rPh>
    <phoneticPr fontId="3"/>
  </si>
  <si>
    <t>全調整リスク人口</t>
    <rPh sb="0" eb="1">
      <t>ゼン</t>
    </rPh>
    <rPh sb="1" eb="3">
      <t>チョウセイ</t>
    </rPh>
    <rPh sb="6" eb="8">
      <t>ジンコウ</t>
    </rPh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</si>
  <si>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</si>
  <si>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</si>
  <si>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計</t>
    <rPh sb="0" eb="1">
      <t>ケイ</t>
    </rPh>
    <phoneticPr fontId="3"/>
  </si>
  <si>
    <t>リスク割合</t>
    <rPh sb="3" eb="5">
      <t>ワリアイ</t>
    </rPh>
    <phoneticPr fontId="3"/>
  </si>
  <si>
    <t>日本人人口</t>
    <rPh sb="0" eb="2">
      <t>ニホン</t>
    </rPh>
    <rPh sb="2" eb="3">
      <t>ジン</t>
    </rPh>
    <rPh sb="3" eb="5">
      <t>ジンコウ</t>
    </rPh>
    <phoneticPr fontId="3"/>
  </si>
  <si>
    <t>調整リスク人口</t>
    <rPh sb="0" eb="2">
      <t>チョウセイ</t>
    </rPh>
    <rPh sb="5" eb="7">
      <t>ジンコウ</t>
    </rPh>
    <phoneticPr fontId="3"/>
  </si>
  <si>
    <t>全調整リスク割合</t>
    <rPh sb="0" eb="1">
      <t>ゼン</t>
    </rPh>
    <rPh sb="1" eb="3">
      <t>チョウセイ</t>
    </rPh>
    <rPh sb="6" eb="8">
      <t>ワリアイ</t>
    </rPh>
    <phoneticPr fontId="3"/>
  </si>
  <si>
    <t>群馬県</t>
    <phoneticPr fontId="3"/>
  </si>
  <si>
    <t>BMI</t>
    <phoneticPr fontId="2"/>
  </si>
  <si>
    <t>男</t>
    <phoneticPr fontId="2"/>
  </si>
  <si>
    <t>女</t>
    <phoneticPr fontId="2"/>
  </si>
  <si>
    <t>計</t>
    <phoneticPr fontId="2"/>
  </si>
  <si>
    <t>収縮期血圧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</si>
</sst>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1">
      <alignment vertical="center"/>
    </xf>
    <xf numFmtId="0" fontId="1" fillId="0" borderId="6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0" borderId="8" xfId="1" applyBorder="1" applyAlignment="1">
      <alignment vertical="center" shrinkToFit="1"/>
    </xf>
    <xf numFmtId="176" fontId="1" fillId="0" borderId="1" xfId="1" applyNumberFormat="1" applyBorder="1" applyAlignment="1">
      <alignment horizontal="right" vertical="center" shrinkToFit="1"/>
    </xf>
    <xf numFmtId="176" fontId="1" fillId="0" borderId="9" xfId="1" applyNumberFormat="1" applyBorder="1" applyAlignment="1">
      <alignment horizontal="right" vertical="center" shrinkToFit="1"/>
    </xf>
    <xf numFmtId="176" fontId="1" fillId="0" borderId="10" xfId="1" applyNumberFormat="1" applyBorder="1" applyAlignment="1">
      <alignment horizontal="right" vertical="center" shrinkToFit="1"/>
    </xf>
    <xf numFmtId="0" fontId="1" fillId="0" borderId="0" xfId="1" applyAlignment="1">
      <alignment horizontal="right" vertical="center"/>
    </xf>
    <xf numFmtId="0" fontId="1" fillId="0" borderId="0" xfId="1" applyAlignment="1">
      <alignment vertical="center" shrinkToFit="1"/>
    </xf>
    <xf numFmtId="176" fontId="1" fillId="0" borderId="5" xfId="1" applyNumberFormat="1" applyBorder="1" applyAlignment="1">
      <alignment horizontal="right" vertical="center" shrinkToFit="1"/>
    </xf>
    <xf numFmtId="176" fontId="1" fillId="0" borderId="11" xfId="1" applyNumberFormat="1" applyBorder="1" applyAlignment="1">
      <alignment horizontal="right" vertical="center" shrinkToFit="1"/>
    </xf>
    <xf numFmtId="176" fontId="1" fillId="0" borderId="12" xfId="1" applyNumberFormat="1" applyBorder="1" applyAlignment="1">
      <alignment horizontal="right" vertical="center" shrinkToFit="1"/>
    </xf>
    <xf numFmtId="0" fontId="1" fillId="0" borderId="13" xfId="1" applyBorder="1" applyAlignment="1">
      <alignment vertical="center" shrinkToFit="1"/>
    </xf>
    <xf numFmtId="176" fontId="1" fillId="0" borderId="7" xfId="1" applyNumberFormat="1" applyBorder="1" applyAlignment="1">
      <alignment horizontal="right" vertical="center" shrinkToFit="1"/>
    </xf>
    <xf numFmtId="176" fontId="1" fillId="0" borderId="14" xfId="1" applyNumberFormat="1" applyBorder="1" applyAlignment="1">
      <alignment horizontal="right" vertical="center" shrinkToFit="1"/>
    </xf>
    <xf numFmtId="176" fontId="1" fillId="0" borderId="15" xfId="1" applyNumberFormat="1" applyBorder="1" applyAlignment="1">
      <alignment horizontal="right" vertical="center" shrinkToFit="1"/>
    </xf>
    <xf numFmtId="0" fontId="1" fillId="2" borderId="8" xfId="1" applyFill="1" applyBorder="1" applyAlignment="1">
      <alignment vertical="center" shrinkToFit="1"/>
    </xf>
    <xf numFmtId="0" fontId="1" fillId="2" borderId="0" xfId="1" applyFill="1" applyAlignment="1">
      <alignment vertical="center" shrinkToFit="1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6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" xfId="1" applyBorder="1" applyAlignment="1">
      <alignment horizontal="center" vertical="center" shrinkToFit="1"/>
    </xf>
    <xf numFmtId="0" fontId="1" fillId="0" borderId="5" xfId="1" applyBorder="1" applyAlignment="1">
      <alignment horizontal="center" vertical="center" shrinkToFit="1"/>
    </xf>
    <xf numFmtId="0" fontId="1" fillId="0" borderId="7" xfId="1" applyBorder="1" applyAlignment="1">
      <alignment horizontal="center" vertical="center" shrinkToFit="1"/>
    </xf>
    <xf numFmtId="0" fontId="1" fillId="0" borderId="6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1" xfId="1" applyBorder="1" applyAlignment="1">
      <alignment horizontal="center" vertical="center" wrapText="1"/>
    </xf>
    <xf numFmtId="0" fontId="1" fillId="0" borderId="5" xfId="1" applyBorder="1" applyAlignment="1">
      <alignment horizontal="center" vertical="center" wrapText="1"/>
    </xf>
    <xf numFmtId="0" fontId="1" fillId="0" borderId="7" xfId="1" applyBorder="1" applyAlignment="1">
      <alignment horizontal="center" vertical="center" wrapText="1"/>
    </xf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sq001\sonybank\Documents%20and%20Settings\kawana.OHSAKI\My%20Documents\&#20316;&#26989;&#20013;\DB&#65288;CT&#6528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ep001\fh21&#20849;&#26377;\FH21&#24773;&#22577;&#31995;Work\&#9679;00&#20840;&#20307;&#36039;&#26009;\30&#9679;&#27161;&#28310;&#21270;\200009&#65397;&#65392;&#65420;&#65439;&#65437;&#31995;&#65288;&#34701;&#36039;&#27161;&#28310;&#65289;\&#20849;&#21516;&#21270;&#65339;&#21475;&#24231;&#25391;&#26367;&#65341;\&#65436;&#65392;&#65400;&#65435;&#65392;&#65412;&#65438;\&#65334;&#65314;&#35201;&#20214;&#23450;&#32681;&#25104;&#26524;&#2928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ellow\SDAS&#25512;&#36914;&#23460;\temp\03&#38283;&#30330;&#27161;&#28310;\01&#27161;&#28310;&#12489;&#12461;&#12517;&#12513;&#12531;&#12488;\02&#12489;&#12461;&#12517;&#12513;&#12531;&#12488;&#12501;&#12457;&#12540;&#12510;&#12483;&#12488;\PT&#23436;&#20102;&#22577;&#21578;&#26360;&#20860;&#21697;&#36074;&#38598;&#35336;&#12471;&#12540;&#12488;(&#12501;&#12457;&#12540;&#12510;&#12483;&#12488;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rep001\fh21&#20849;&#26377;\&#20849;&#29992;\Tashiro\&#25285;&#20445;&#38306;&#36899;&#36039;&#26009;\&#36039;&#26009;\&#65316;&#65314;&#20181;&#27096;&#26360;\&#12486;&#12540;&#12502;&#12523;&#35373;&#35336;&#65288;&#25285;&#20445;&#31649;&#29702;&#6528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DT132\&#20849;&#21516;&#21270;&#21475;&#25391;\2&#35201;&#20214;&#23450;&#32681;\3&#21475;&#25391;&#35201;&#20214;&#23450;&#32681;&#26360;&#65288;&#27010;&#35201;&#29256;&#65289;\2.2&#23550;&#35937;&#27231;&#3302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DT132\&#20849;&#21516;&#21270;&#21475;&#25391;\&#20849;&#21516;&#21270;&#65339;&#21475;&#24231;&#25391;&#26367;&#65341;\&#65436;&#65392;&#65400;&#65435;&#65392;&#65412;&#65438;\&#65334;&#65314;&#35201;&#20214;&#23450;&#32681;&#25104;&#26524;&#2928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EMCOMPUTER\sekine\TEMP\Tashiro\&#25285;&#20445;&#38306;&#36899;&#36039;&#26009;\&#36039;&#26009;\&#65316;&#65314;&#20181;&#27096;&#26360;\&#12486;&#12540;&#12502;&#12523;&#35373;&#35336;&#65288;&#25285;&#20445;&#31649;&#29702;&#65289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NITUser\AppData\Local\Microsoft\Windows\Temporary%20Internet%20Files\Content.IE5\BK2HNXDJ\&#12501;&#12449;&#12452;&#12523;&#25552;&#20379;&#24418;&#24335;(&#21442;&#29031;)_201502091536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現行DB一覧1"/>
      <sheetName val="現行DB一覧2(CT)"/>
      <sheetName val="Sheet1"/>
      <sheetName val="Sheet4"/>
      <sheetName val="Sheet2"/>
      <sheetName val="Sheet3"/>
      <sheetName val="現行DB一覧2_CT_"/>
      <sheetName val="テストパターン一覧"/>
      <sheetName val="メッセージ文言取込(Web21TOP)"/>
      <sheetName val="メッセージ文言取込(総合振込)"/>
      <sheetName val="メッセージ文言取込(給与・賞与振込)"/>
      <sheetName val="メッセージ文言取込(取引口座照会)"/>
      <sheetName val="メッセージ文言取込(個人地方税)"/>
      <sheetName val="メッセージ文言取込(振込振替)"/>
      <sheetName val="メッセージ文言取込(口座情報・事前設定)"/>
      <sheetName val="メッセージ文言取込(セキュリティ管理)"/>
      <sheetName val="マスタデータ（DB格納用）"/>
      <sheetName val="SDB(1)"/>
      <sheetName val="提示用医科薬剤作表用ｙ-flag"/>
      <sheetName val="設定"/>
    </sheetNames>
    <sheetDataSet>
      <sheetData sheetId="0"/>
      <sheetData sheetId="1" refreshError="1">
        <row r="2">
          <cell r="A2" t="str">
            <v>EMAIL</v>
          </cell>
          <cell r="B2" t="str">
            <v>CT受託銀行</v>
          </cell>
          <cell r="C2" t="str">
            <v>CTMMF分配金計算</v>
          </cell>
          <cell r="D2" t="str">
            <v>varchar</v>
          </cell>
          <cell r="E2">
            <v>100</v>
          </cell>
        </row>
        <row r="3">
          <cell r="A3" t="str">
            <v>EMAIL</v>
          </cell>
          <cell r="B3" t="str">
            <v>CT投信会社</v>
          </cell>
          <cell r="C3" t="str">
            <v>CTMMF分配金計算</v>
          </cell>
          <cell r="D3" t="str">
            <v>varchar</v>
          </cell>
          <cell r="E3">
            <v>100</v>
          </cell>
        </row>
        <row r="4">
          <cell r="A4" t="str">
            <v>EMAIL2</v>
          </cell>
          <cell r="B4" t="str">
            <v>CT受託銀行</v>
          </cell>
          <cell r="C4" t="str">
            <v>CT買戻し対象</v>
          </cell>
          <cell r="D4" t="str">
            <v>varchar</v>
          </cell>
          <cell r="E4">
            <v>100</v>
          </cell>
        </row>
        <row r="5">
          <cell r="A5" t="str">
            <v>FAX番号</v>
          </cell>
          <cell r="B5" t="str">
            <v>CT支店</v>
          </cell>
          <cell r="C5" t="str">
            <v>CT買戻し対象</v>
          </cell>
          <cell r="D5" t="str">
            <v>varchar</v>
          </cell>
          <cell r="E5">
            <v>20</v>
          </cell>
        </row>
        <row r="6">
          <cell r="A6" t="str">
            <v>FAX番号</v>
          </cell>
          <cell r="B6" t="str">
            <v>CT受託銀行</v>
          </cell>
          <cell r="C6" t="str">
            <v>CT為替レート登録区分</v>
          </cell>
          <cell r="D6" t="str">
            <v>varchar</v>
          </cell>
          <cell r="E6">
            <v>20</v>
          </cell>
        </row>
        <row r="7">
          <cell r="A7" t="str">
            <v>FAX番号</v>
          </cell>
          <cell r="B7" t="str">
            <v>CT投信会社</v>
          </cell>
          <cell r="C7" t="str">
            <v>CT為替レート登録区分</v>
          </cell>
          <cell r="D7" t="str">
            <v>varchar</v>
          </cell>
          <cell r="E7">
            <v>20</v>
          </cell>
        </row>
        <row r="8">
          <cell r="A8" t="str">
            <v>FAX番号2</v>
          </cell>
          <cell r="B8" t="str">
            <v>CT受託銀行</v>
          </cell>
          <cell r="C8" t="str">
            <v>CT管理会社</v>
          </cell>
          <cell r="D8" t="str">
            <v>varchar</v>
          </cell>
          <cell r="E8">
            <v>20</v>
          </cell>
        </row>
        <row r="9">
          <cell r="A9" t="str">
            <v>FD種類</v>
          </cell>
          <cell r="B9" t="str">
            <v>CT出金FD</v>
          </cell>
          <cell r="C9" t="str">
            <v>CT管理会社</v>
          </cell>
          <cell r="D9" t="str">
            <v>varchar</v>
          </cell>
          <cell r="E9">
            <v>20</v>
          </cell>
        </row>
        <row r="10">
          <cell r="A10" t="str">
            <v>MMF買戻し対象区分</v>
          </cell>
          <cell r="B10" t="str">
            <v>CT買戻し対象</v>
          </cell>
          <cell r="C10" t="str">
            <v>○</v>
          </cell>
          <cell r="D10" t="str">
            <v>varchar</v>
          </cell>
          <cell r="E10">
            <v>2</v>
          </cell>
        </row>
        <row r="11">
          <cell r="A11" t="str">
            <v>MMF分配金計算区分</v>
          </cell>
          <cell r="B11" t="str">
            <v>CTMMF分配金計算</v>
          </cell>
          <cell r="C11" t="str">
            <v>CT決済区分</v>
          </cell>
          <cell r="D11" t="str">
            <v>varchar</v>
          </cell>
          <cell r="E11">
            <v>20</v>
          </cell>
        </row>
        <row r="12">
          <cell r="A12" t="str">
            <v>OLE社印</v>
          </cell>
          <cell r="B12" t="str">
            <v>CTユーザ会社名</v>
          </cell>
          <cell r="C12" t="str">
            <v>CTシステムコード</v>
          </cell>
          <cell r="D12" t="str">
            <v>image</v>
          </cell>
          <cell r="E12">
            <v>7</v>
          </cell>
        </row>
        <row r="13">
          <cell r="A13" t="str">
            <v>OLE社名</v>
          </cell>
          <cell r="B13" t="str">
            <v>CTユーザ会社名</v>
          </cell>
          <cell r="C13" t="str">
            <v>CTシステムコード</v>
          </cell>
          <cell r="D13" t="str">
            <v>image</v>
          </cell>
          <cell r="E13">
            <v>6</v>
          </cell>
        </row>
        <row r="14">
          <cell r="A14" t="str">
            <v>ｶﾅ決済銀行支店名</v>
          </cell>
          <cell r="B14" t="str">
            <v>CT決済銀行支店</v>
          </cell>
          <cell r="C14" t="str">
            <v>CTシステムコード</v>
          </cell>
          <cell r="D14" t="str">
            <v>varchar</v>
          </cell>
          <cell r="E14">
            <v>15</v>
          </cell>
        </row>
        <row r="15">
          <cell r="A15" t="str">
            <v>ｶﾅ決済銀行名</v>
          </cell>
          <cell r="B15" t="str">
            <v>CT決済銀行</v>
          </cell>
          <cell r="C15" t="str">
            <v>CTシステムステイタス</v>
          </cell>
          <cell r="D15" t="str">
            <v>varchar</v>
          </cell>
          <cell r="E15">
            <v>15</v>
          </cell>
        </row>
        <row r="16">
          <cell r="A16" t="str">
            <v>ｶﾅ決済口座名義人</v>
          </cell>
          <cell r="B16" t="str">
            <v>CT受託銀行</v>
          </cell>
          <cell r="C16" t="str">
            <v>CTシステムステイタス</v>
          </cell>
          <cell r="D16" t="str">
            <v>varchar</v>
          </cell>
          <cell r="E16">
            <v>30</v>
          </cell>
        </row>
        <row r="17">
          <cell r="A17" t="str">
            <v>ｶﾅ決済口座名義人</v>
          </cell>
          <cell r="B17" t="str">
            <v>CT投信会社</v>
          </cell>
          <cell r="C17" t="str">
            <v>CTシステムステイタス</v>
          </cell>
          <cell r="D17" t="str">
            <v>varchar</v>
          </cell>
          <cell r="E17">
            <v>30</v>
          </cell>
        </row>
        <row r="18">
          <cell r="A18" t="str">
            <v>為替レート登録区分</v>
          </cell>
          <cell r="B18" t="str">
            <v>CT為替レート登録区分</v>
          </cell>
          <cell r="C18" t="str">
            <v>CTシステムステイタス</v>
          </cell>
          <cell r="D18" t="str">
            <v>bit</v>
          </cell>
          <cell r="E18">
            <v>2</v>
          </cell>
        </row>
        <row r="19">
          <cell r="A19" t="str">
            <v>管理会社コード</v>
          </cell>
          <cell r="B19" t="str">
            <v>CT管理会社</v>
          </cell>
          <cell r="C19" t="str">
            <v>CTシステムステイタス</v>
          </cell>
          <cell r="D19" t="str">
            <v>bit</v>
          </cell>
          <cell r="E19">
            <v>3</v>
          </cell>
        </row>
        <row r="20">
          <cell r="A20" t="str">
            <v>管理会社名</v>
          </cell>
          <cell r="B20" t="str">
            <v>CT管理会社</v>
          </cell>
          <cell r="C20" t="str">
            <v>CTシステムステイタス</v>
          </cell>
          <cell r="D20" t="str">
            <v>varchar</v>
          </cell>
          <cell r="E20">
            <v>50</v>
          </cell>
        </row>
        <row r="21">
          <cell r="A21" t="str">
            <v>キャッシング上限</v>
          </cell>
          <cell r="B21" t="str">
            <v>CTユーザ会社名</v>
          </cell>
          <cell r="C21" t="str">
            <v>CT代行証券会社</v>
          </cell>
          <cell r="D21" t="str">
            <v>money</v>
          </cell>
          <cell r="E21">
            <v>3</v>
          </cell>
        </row>
        <row r="22">
          <cell r="A22" t="str">
            <v>決済区分コード</v>
          </cell>
          <cell r="B22" t="str">
            <v>CT決済区分</v>
          </cell>
          <cell r="C22" t="str">
            <v>CT代行証券会社</v>
          </cell>
          <cell r="D22" t="str">
            <v>varchar</v>
          </cell>
          <cell r="E22">
            <v>50</v>
          </cell>
        </row>
        <row r="23">
          <cell r="A23" t="str">
            <v>項番</v>
          </cell>
          <cell r="B23" t="str">
            <v>CT帳票文言</v>
          </cell>
          <cell r="C23" t="str">
            <v>○</v>
          </cell>
          <cell r="D23" t="str">
            <v>smallint</v>
          </cell>
        </row>
        <row r="24">
          <cell r="A24" t="str">
            <v>システムコード</v>
          </cell>
          <cell r="B24" t="str">
            <v>CTシステムコード</v>
          </cell>
          <cell r="C24" t="str">
            <v>CT帳票文言</v>
          </cell>
          <cell r="D24" t="str">
            <v>varchar</v>
          </cell>
          <cell r="E24">
            <v>6</v>
          </cell>
        </row>
        <row r="25">
          <cell r="A25" t="str">
            <v>ソートキー</v>
          </cell>
          <cell r="B25" t="str">
            <v>CTシステムコード</v>
          </cell>
          <cell r="C25" t="str">
            <v>○</v>
          </cell>
          <cell r="D25" t="str">
            <v>varchar</v>
          </cell>
          <cell r="E25">
            <v>7</v>
          </cell>
        </row>
        <row r="26">
          <cell r="A26" t="str">
            <v>代行証券会社コード</v>
          </cell>
          <cell r="B26" t="str">
            <v>CT代行証券会社</v>
          </cell>
          <cell r="C26" t="str">
            <v>CT帳票文言</v>
          </cell>
          <cell r="D26" t="str">
            <v>varchar</v>
          </cell>
          <cell r="E26">
            <v>50</v>
          </cell>
        </row>
        <row r="27">
          <cell r="A27" t="str">
            <v>帳票キー</v>
          </cell>
          <cell r="B27" t="str">
            <v>CT帳票文言</v>
          </cell>
          <cell r="C27" t="str">
            <v>CT帳票文言</v>
          </cell>
          <cell r="D27" t="str">
            <v>varchar</v>
          </cell>
          <cell r="E27">
            <v>255</v>
          </cell>
        </row>
        <row r="28">
          <cell r="A28" t="str">
            <v>帳票名</v>
          </cell>
          <cell r="B28" t="str">
            <v>CT帳票文言</v>
          </cell>
          <cell r="C28" t="str">
            <v>○</v>
          </cell>
          <cell r="D28" t="str">
            <v>varchar</v>
          </cell>
          <cell r="E28">
            <v>50</v>
          </cell>
        </row>
        <row r="29">
          <cell r="A29" t="str">
            <v>テーブル名</v>
          </cell>
          <cell r="B29" t="str">
            <v>CTテーブル更新情報</v>
          </cell>
          <cell r="C29" t="str">
            <v>CTテーブル更新情報</v>
          </cell>
          <cell r="D29" t="str">
            <v>datetime</v>
          </cell>
          <cell r="E29">
            <v>30</v>
          </cell>
        </row>
        <row r="30">
          <cell r="A30" t="str">
            <v>テーブル名</v>
          </cell>
          <cell r="B30" t="str">
            <v>CT保有月数</v>
          </cell>
          <cell r="C30" t="str">
            <v>○</v>
          </cell>
          <cell r="D30" t="str">
            <v>varchar</v>
          </cell>
          <cell r="E30">
            <v>50</v>
          </cell>
        </row>
        <row r="31">
          <cell r="A31" t="str">
            <v>テーブル名</v>
          </cell>
          <cell r="B31" t="str">
            <v>CT帳票名</v>
          </cell>
          <cell r="C31" t="str">
            <v>CTメッセージ</v>
          </cell>
          <cell r="D31" t="str">
            <v>varchar</v>
          </cell>
          <cell r="E31">
            <v>50</v>
          </cell>
        </row>
        <row r="32">
          <cell r="A32" t="str">
            <v>パスワード</v>
          </cell>
          <cell r="B32" t="str">
            <v>CTユーザ情報</v>
          </cell>
          <cell r="C32" t="str">
            <v>CTユーザ会社名</v>
          </cell>
          <cell r="D32" t="str">
            <v>varchar</v>
          </cell>
          <cell r="E32">
            <v>10</v>
          </cell>
        </row>
        <row r="33">
          <cell r="A33" t="str">
            <v>表示位置</v>
          </cell>
          <cell r="B33" t="str">
            <v>CT帳票文言</v>
          </cell>
          <cell r="C33" t="str">
            <v>CTユーザ会社名</v>
          </cell>
          <cell r="D33" t="str">
            <v>varchar</v>
          </cell>
          <cell r="E33">
            <v>50</v>
          </cell>
        </row>
        <row r="34">
          <cell r="A34" t="str">
            <v>ファイル名</v>
          </cell>
          <cell r="B34" t="str">
            <v>CT出金FD</v>
          </cell>
          <cell r="C34" t="str">
            <v>CTユーザ会社名</v>
          </cell>
          <cell r="D34" t="str">
            <v>varchar</v>
          </cell>
          <cell r="E34">
            <v>255</v>
          </cell>
        </row>
        <row r="35">
          <cell r="A35" t="str">
            <v>マル優年齢</v>
          </cell>
          <cell r="B35" t="str">
            <v>CTユーザ会社名</v>
          </cell>
          <cell r="C35" t="str">
            <v>CTユーザ会社名</v>
          </cell>
          <cell r="D35" t="str">
            <v>int</v>
          </cell>
        </row>
        <row r="36">
          <cell r="A36" t="str">
            <v>メッセージ</v>
          </cell>
          <cell r="B36" t="str">
            <v>CTメッセージ</v>
          </cell>
          <cell r="C36" t="str">
            <v>CTユーザ会社名</v>
          </cell>
          <cell r="D36" t="str">
            <v>varchar</v>
          </cell>
          <cell r="E36">
            <v>255</v>
          </cell>
        </row>
        <row r="37">
          <cell r="A37" t="str">
            <v>メッセージコード</v>
          </cell>
          <cell r="B37" t="str">
            <v>CTメッセージ</v>
          </cell>
          <cell r="C37" t="str">
            <v>CTユーザ会社名</v>
          </cell>
          <cell r="D37" t="str">
            <v>varchar</v>
          </cell>
          <cell r="E37">
            <v>2</v>
          </cell>
        </row>
        <row r="38">
          <cell r="A38" t="str">
            <v>文言</v>
          </cell>
          <cell r="B38" t="str">
            <v>CT帳票文言</v>
          </cell>
          <cell r="C38" t="str">
            <v>CTユーザ会社名</v>
          </cell>
          <cell r="D38" t="str">
            <v>varchar</v>
          </cell>
          <cell r="E38">
            <v>255</v>
          </cell>
        </row>
        <row r="39">
          <cell r="A39" t="str">
            <v>ユーザID</v>
          </cell>
          <cell r="B39" t="str">
            <v>CTユーザ情報</v>
          </cell>
          <cell r="C39" t="str">
            <v>CTユーザ会社名</v>
          </cell>
          <cell r="D39" t="str">
            <v>varchar</v>
          </cell>
          <cell r="E39">
            <v>2</v>
          </cell>
        </row>
        <row r="40">
          <cell r="A40" t="str">
            <v>ユーザ権限</v>
          </cell>
          <cell r="B40" t="str">
            <v>CTユーザ情報</v>
          </cell>
          <cell r="C40" t="str">
            <v>CTユーザ会社名</v>
          </cell>
          <cell r="D40" t="str">
            <v>varchar</v>
          </cell>
          <cell r="E40">
            <v>20</v>
          </cell>
        </row>
        <row r="41">
          <cell r="A41" t="str">
            <v>ユーザ名</v>
          </cell>
          <cell r="B41" t="str">
            <v>CTユーザ会社名</v>
          </cell>
          <cell r="C41" t="str">
            <v>CTユーザ会社名</v>
          </cell>
          <cell r="D41" t="str">
            <v>varchar</v>
          </cell>
          <cell r="E41">
            <v>4</v>
          </cell>
        </row>
        <row r="42">
          <cell r="A42" t="str">
            <v>ユーザ名</v>
          </cell>
          <cell r="B42" t="str">
            <v>CTユーザ情報</v>
          </cell>
          <cell r="C42" t="str">
            <v>CTユーザ会社名</v>
          </cell>
          <cell r="D42" t="str">
            <v>varchar</v>
          </cell>
          <cell r="E42">
            <v>50</v>
          </cell>
        </row>
        <row r="43">
          <cell r="A43" t="str">
            <v>リアル処理実行中フラグ</v>
          </cell>
          <cell r="B43" t="str">
            <v>CTシステムステイタス</v>
          </cell>
          <cell r="C43" t="str">
            <v>CTユーザ会社名</v>
          </cell>
          <cell r="D43" t="str">
            <v>varchar</v>
          </cell>
          <cell r="E43">
            <v>13</v>
          </cell>
        </row>
        <row r="44">
          <cell r="A44" t="str">
            <v>リアル処理終了フラグ</v>
          </cell>
          <cell r="B44" t="str">
            <v>CTシステムステイタス</v>
          </cell>
          <cell r="C44" t="str">
            <v>CTユーザ会社名</v>
          </cell>
          <cell r="D44" t="str">
            <v>varchar</v>
          </cell>
          <cell r="E44">
            <v>13</v>
          </cell>
        </row>
        <row r="45">
          <cell r="A45" t="str">
            <v>リスク分類コード</v>
          </cell>
          <cell r="B45" t="str">
            <v>CTリスク分類</v>
          </cell>
          <cell r="C45" t="str">
            <v>CTユーザ会社名</v>
          </cell>
          <cell r="D45" t="str">
            <v>varchar</v>
          </cell>
          <cell r="E45">
            <v>12</v>
          </cell>
        </row>
        <row r="46">
          <cell r="A46" t="str">
            <v>レポート名</v>
          </cell>
          <cell r="B46" t="str">
            <v>CT帳票名</v>
          </cell>
          <cell r="C46" t="str">
            <v>CTユーザ会社名</v>
          </cell>
          <cell r="D46" t="str">
            <v>varchar</v>
          </cell>
          <cell r="E46">
            <v>50</v>
          </cell>
        </row>
        <row r="47">
          <cell r="A47" t="str">
            <v>ログインフラグ</v>
          </cell>
          <cell r="B47" t="str">
            <v>CTユーザ情報</v>
          </cell>
          <cell r="C47" t="str">
            <v>CTユーザ会社名</v>
          </cell>
          <cell r="D47" t="str">
            <v>bit</v>
          </cell>
        </row>
        <row r="48">
          <cell r="A48" t="str">
            <v>案内指定区分コード</v>
          </cell>
          <cell r="B48" t="str">
            <v>CT案内指定区分</v>
          </cell>
          <cell r="C48" t="str">
            <v>CTユーザ会社名</v>
          </cell>
          <cell r="D48" t="str">
            <v>varchar</v>
          </cell>
          <cell r="E48">
            <v>12</v>
          </cell>
        </row>
        <row r="49">
          <cell r="A49" t="str">
            <v>為替レート登録区分</v>
          </cell>
          <cell r="B49" t="str">
            <v>CTユーザ会社名</v>
          </cell>
          <cell r="C49" t="str">
            <v>CTユーザ会社名</v>
          </cell>
          <cell r="D49" t="str">
            <v>varchar</v>
          </cell>
          <cell r="E49">
            <v>2</v>
          </cell>
        </row>
        <row r="50">
          <cell r="A50" t="str">
            <v>移管方法</v>
          </cell>
          <cell r="B50" t="str">
            <v>CT移管</v>
          </cell>
          <cell r="C50" t="str">
            <v>CTユーザ会社名</v>
          </cell>
          <cell r="D50" t="str">
            <v>varchar</v>
          </cell>
          <cell r="E50">
            <v>32</v>
          </cell>
        </row>
        <row r="51">
          <cell r="A51" t="str">
            <v>印刷開始頁</v>
          </cell>
          <cell r="B51" t="str">
            <v>CT帳票名</v>
          </cell>
          <cell r="C51" t="str">
            <v>CTユーザ会社名</v>
          </cell>
          <cell r="D51" t="str">
            <v>int</v>
          </cell>
          <cell r="E51">
            <v>32</v>
          </cell>
        </row>
        <row r="52">
          <cell r="A52" t="str">
            <v>印刷区分</v>
          </cell>
          <cell r="B52" t="str">
            <v>CT帳票名</v>
          </cell>
          <cell r="C52" t="str">
            <v>CTユーザ会社名</v>
          </cell>
          <cell r="D52" t="str">
            <v>bit</v>
          </cell>
        </row>
        <row r="53">
          <cell r="A53" t="str">
            <v>印刷終了頁</v>
          </cell>
          <cell r="B53" t="str">
            <v>CT帳票名</v>
          </cell>
          <cell r="C53" t="str">
            <v>CTユーザ会社名</v>
          </cell>
          <cell r="D53" t="str">
            <v>int</v>
          </cell>
        </row>
        <row r="54">
          <cell r="A54" t="str">
            <v>科目コード</v>
          </cell>
          <cell r="B54" t="str">
            <v>CT科目</v>
          </cell>
          <cell r="C54" t="str">
            <v>CTユーザ会社名</v>
          </cell>
          <cell r="D54" t="str">
            <v>varchar</v>
          </cell>
          <cell r="E54">
            <v>20</v>
          </cell>
        </row>
        <row r="55">
          <cell r="A55" t="str">
            <v>開始年</v>
          </cell>
          <cell r="B55" t="str">
            <v>CT休日_月日指定</v>
          </cell>
          <cell r="C55" t="str">
            <v>CTユーザ会社名</v>
          </cell>
          <cell r="D55" t="str">
            <v>int</v>
          </cell>
        </row>
        <row r="56">
          <cell r="A56" t="str">
            <v>開始年</v>
          </cell>
          <cell r="B56" t="str">
            <v>CT休日_曜日指定</v>
          </cell>
          <cell r="C56" t="str">
            <v>CTユーザ情報</v>
          </cell>
          <cell r="D56" t="str">
            <v>int</v>
          </cell>
          <cell r="E56">
            <v>10</v>
          </cell>
        </row>
        <row r="57">
          <cell r="A57" t="str">
            <v>外貨MMFリアル処理</v>
          </cell>
          <cell r="B57" t="str">
            <v>CTユーザ会社名</v>
          </cell>
          <cell r="C57" t="str">
            <v>CTユーザ情報</v>
          </cell>
          <cell r="D57" t="str">
            <v>varchar</v>
          </cell>
          <cell r="E57">
            <v>2</v>
          </cell>
        </row>
        <row r="58">
          <cell r="A58" t="str">
            <v>外貨MMF買戻し対象</v>
          </cell>
          <cell r="B58" t="str">
            <v>CTユーザ会社名</v>
          </cell>
          <cell r="C58" t="str">
            <v>CTユーザ情報</v>
          </cell>
          <cell r="D58" t="str">
            <v>varchar</v>
          </cell>
          <cell r="E58">
            <v>2</v>
          </cell>
        </row>
        <row r="59">
          <cell r="A59" t="str">
            <v>外貨MMF分配金計算</v>
          </cell>
          <cell r="B59" t="str">
            <v>CTユーザ会社名</v>
          </cell>
          <cell r="C59" t="str">
            <v>CTユーザ情報</v>
          </cell>
          <cell r="D59" t="str">
            <v>varchar</v>
          </cell>
          <cell r="E59">
            <v>2</v>
          </cell>
        </row>
        <row r="60">
          <cell r="A60" t="str">
            <v>確認書類区分コード</v>
          </cell>
          <cell r="B60" t="str">
            <v>CT本人確認書類</v>
          </cell>
          <cell r="C60" t="str">
            <v>CTユーザ情報</v>
          </cell>
          <cell r="D60" t="str">
            <v>bit</v>
          </cell>
          <cell r="E60">
            <v>2</v>
          </cell>
        </row>
        <row r="61">
          <cell r="A61" t="str">
            <v>休日区分</v>
          </cell>
          <cell r="B61" t="str">
            <v>CT休日区分</v>
          </cell>
          <cell r="C61" t="str">
            <v>CTユーザ情報</v>
          </cell>
          <cell r="D61" t="str">
            <v>varchar</v>
          </cell>
          <cell r="E61">
            <v>3</v>
          </cell>
        </row>
        <row r="62">
          <cell r="A62" t="str">
            <v>休日区分</v>
          </cell>
          <cell r="B62" t="str">
            <v>CT休日_月日指定</v>
          </cell>
          <cell r="C62" t="str">
            <v>CTユーザ情報</v>
          </cell>
          <cell r="D62" t="str">
            <v>int</v>
          </cell>
          <cell r="E62">
            <v>50</v>
          </cell>
        </row>
        <row r="63">
          <cell r="A63" t="str">
            <v>休日再投資実行中フラグ</v>
          </cell>
          <cell r="B63" t="str">
            <v>CTシステムステイタス</v>
          </cell>
          <cell r="C63" t="str">
            <v>CTリスク分類</v>
          </cell>
          <cell r="D63" t="str">
            <v>bit</v>
          </cell>
          <cell r="E63">
            <v>2</v>
          </cell>
        </row>
        <row r="64">
          <cell r="A64" t="str">
            <v>局番桁数</v>
          </cell>
          <cell r="B64" t="str">
            <v>CT受託銀行</v>
          </cell>
          <cell r="C64" t="str">
            <v>CTリスク分類</v>
          </cell>
          <cell r="D64" t="str">
            <v>int</v>
          </cell>
          <cell r="E64">
            <v>50</v>
          </cell>
        </row>
        <row r="65">
          <cell r="A65" t="str">
            <v>局番桁数2</v>
          </cell>
          <cell r="B65" t="str">
            <v>CT受託銀行</v>
          </cell>
          <cell r="C65" t="str">
            <v>CT案内指定区分</v>
          </cell>
          <cell r="D65" t="str">
            <v>int</v>
          </cell>
          <cell r="E65">
            <v>2</v>
          </cell>
        </row>
        <row r="66">
          <cell r="A66" t="str">
            <v>銀行コード</v>
          </cell>
          <cell r="B66" t="str">
            <v>CT受託銀行</v>
          </cell>
          <cell r="C66" t="str">
            <v>CT案内指定区分</v>
          </cell>
          <cell r="D66" t="str">
            <v>varchar</v>
          </cell>
          <cell r="E66">
            <v>50</v>
          </cell>
        </row>
        <row r="67">
          <cell r="A67" t="str">
            <v>銀行名</v>
          </cell>
          <cell r="B67" t="str">
            <v>CT受託銀行</v>
          </cell>
          <cell r="C67" t="str">
            <v>CT移管</v>
          </cell>
          <cell r="D67" t="str">
            <v>varchar</v>
          </cell>
          <cell r="E67">
            <v>50</v>
          </cell>
        </row>
        <row r="68">
          <cell r="A68" t="str">
            <v>決済科目コード</v>
          </cell>
          <cell r="B68" t="str">
            <v>CT受託銀行</v>
          </cell>
          <cell r="C68" t="str">
            <v>CT移管</v>
          </cell>
          <cell r="D68" t="str">
            <v>varchar</v>
          </cell>
          <cell r="E68">
            <v>2</v>
          </cell>
        </row>
        <row r="69">
          <cell r="A69" t="str">
            <v>決済科目コード</v>
          </cell>
          <cell r="B69" t="str">
            <v>CT投信会社</v>
          </cell>
          <cell r="C69" t="str">
            <v>CT科目</v>
          </cell>
          <cell r="D69" t="str">
            <v>varchar</v>
          </cell>
          <cell r="E69">
            <v>2</v>
          </cell>
        </row>
        <row r="70">
          <cell r="A70" t="str">
            <v>決済銀行コード</v>
          </cell>
          <cell r="B70" t="str">
            <v>CT決済銀行</v>
          </cell>
          <cell r="C70" t="str">
            <v>CT科目</v>
          </cell>
          <cell r="D70" t="str">
            <v>varchar</v>
          </cell>
          <cell r="E70">
            <v>4</v>
          </cell>
        </row>
        <row r="71">
          <cell r="A71" t="str">
            <v>決済銀行コード</v>
          </cell>
          <cell r="B71" t="str">
            <v>CT決済銀行支店</v>
          </cell>
          <cell r="C71" t="str">
            <v>CT科目</v>
          </cell>
          <cell r="D71" t="str">
            <v>varchar</v>
          </cell>
          <cell r="E71">
            <v>10</v>
          </cell>
        </row>
        <row r="72">
          <cell r="A72" t="str">
            <v>決済銀行コード</v>
          </cell>
          <cell r="B72" t="str">
            <v>CT受託銀行</v>
          </cell>
          <cell r="C72" t="str">
            <v>CT休日_月日指定</v>
          </cell>
          <cell r="D72" t="str">
            <v>varchar</v>
          </cell>
          <cell r="E72">
            <v>4</v>
          </cell>
        </row>
        <row r="73">
          <cell r="A73" t="str">
            <v>決済銀行コード</v>
          </cell>
          <cell r="B73" t="str">
            <v>CT投信会社</v>
          </cell>
          <cell r="C73" t="str">
            <v>CT休日_月日指定</v>
          </cell>
          <cell r="D73" t="str">
            <v>varchar</v>
          </cell>
          <cell r="E73">
            <v>4</v>
          </cell>
        </row>
        <row r="74">
          <cell r="A74" t="str">
            <v>決済銀行支店コード</v>
          </cell>
          <cell r="B74" t="str">
            <v>CT決済銀行支店</v>
          </cell>
          <cell r="C74" t="str">
            <v>CT休日_月日指定</v>
          </cell>
          <cell r="D74" t="str">
            <v>int</v>
          </cell>
          <cell r="E74">
            <v>4</v>
          </cell>
        </row>
        <row r="75">
          <cell r="A75" t="str">
            <v>決済銀行支店名</v>
          </cell>
          <cell r="B75" t="str">
            <v>CT決済銀行支店</v>
          </cell>
          <cell r="C75" t="str">
            <v>CT休日_月日指定</v>
          </cell>
          <cell r="D75" t="str">
            <v>varchar</v>
          </cell>
          <cell r="E75">
            <v>50</v>
          </cell>
        </row>
        <row r="76">
          <cell r="A76" t="str">
            <v>決済銀行名</v>
          </cell>
          <cell r="B76" t="str">
            <v>CT決済銀行</v>
          </cell>
          <cell r="C76" t="str">
            <v>CT休日_月日指定</v>
          </cell>
          <cell r="D76" t="str">
            <v>varchar</v>
          </cell>
          <cell r="E76">
            <v>50</v>
          </cell>
        </row>
        <row r="77">
          <cell r="A77" t="str">
            <v>決済口座番号</v>
          </cell>
          <cell r="B77" t="str">
            <v>CT受託銀行</v>
          </cell>
          <cell r="C77" t="str">
            <v>CT休日_月日指定</v>
          </cell>
          <cell r="D77" t="str">
            <v>varchar</v>
          </cell>
          <cell r="E77">
            <v>10</v>
          </cell>
        </row>
        <row r="78">
          <cell r="A78" t="str">
            <v>決済口座番号</v>
          </cell>
          <cell r="B78" t="str">
            <v>CT投信会社</v>
          </cell>
          <cell r="C78" t="str">
            <v>CT休日_春分秋分</v>
          </cell>
          <cell r="D78" t="str">
            <v>varchar</v>
          </cell>
          <cell r="E78">
            <v>10</v>
          </cell>
        </row>
        <row r="79">
          <cell r="A79" t="str">
            <v>決済支店コード</v>
          </cell>
          <cell r="B79" t="str">
            <v>CT受託銀行</v>
          </cell>
          <cell r="C79" t="str">
            <v>CT休日_春分秋分</v>
          </cell>
          <cell r="D79" t="str">
            <v>varchar</v>
          </cell>
          <cell r="E79">
            <v>3</v>
          </cell>
        </row>
        <row r="80">
          <cell r="A80" t="str">
            <v>決済支店コード</v>
          </cell>
          <cell r="B80" t="str">
            <v>CT投信会社</v>
          </cell>
          <cell r="C80" t="str">
            <v>CT休日_曜日指定</v>
          </cell>
          <cell r="D80" t="str">
            <v>varchar</v>
          </cell>
          <cell r="E80">
            <v>3</v>
          </cell>
        </row>
        <row r="81">
          <cell r="A81" t="str">
            <v>月</v>
          </cell>
          <cell r="B81" t="str">
            <v>CT休日_月日指定</v>
          </cell>
          <cell r="C81" t="str">
            <v>○</v>
          </cell>
          <cell r="D81" t="str">
            <v>int</v>
          </cell>
        </row>
        <row r="82">
          <cell r="A82" t="str">
            <v>月</v>
          </cell>
          <cell r="B82" t="str">
            <v>CT休日_曜日指定</v>
          </cell>
          <cell r="C82" t="str">
            <v>○</v>
          </cell>
          <cell r="D82" t="str">
            <v>int</v>
          </cell>
        </row>
        <row r="83">
          <cell r="A83" t="str">
            <v>肩書区分コード</v>
          </cell>
          <cell r="B83" t="str">
            <v>CT肩書区分</v>
          </cell>
          <cell r="C83" t="str">
            <v>CT休日_曜日指定</v>
          </cell>
          <cell r="D83" t="str">
            <v>int</v>
          </cell>
          <cell r="E83">
            <v>2</v>
          </cell>
        </row>
        <row r="84">
          <cell r="A84" t="str">
            <v>呼称_科目</v>
          </cell>
          <cell r="B84" t="str">
            <v>CTユーザ会社名</v>
          </cell>
          <cell r="C84" t="str">
            <v>CT休日_曜日指定</v>
          </cell>
          <cell r="D84" t="str">
            <v>varchar</v>
          </cell>
          <cell r="E84">
            <v>4</v>
          </cell>
        </row>
        <row r="85">
          <cell r="A85" t="str">
            <v>呼称_口座番号</v>
          </cell>
          <cell r="B85" t="str">
            <v>CTユーザ会社名</v>
          </cell>
          <cell r="C85" t="str">
            <v>CT休日_曜日指定</v>
          </cell>
          <cell r="D85" t="str">
            <v>varchar</v>
          </cell>
          <cell r="E85">
            <v>8</v>
          </cell>
        </row>
        <row r="86">
          <cell r="A86" t="str">
            <v>呼称_支店</v>
          </cell>
          <cell r="B86" t="str">
            <v>CTユーザ会社名</v>
          </cell>
          <cell r="C86" t="str">
            <v>CT休日区分</v>
          </cell>
          <cell r="D86" t="str">
            <v>varchar</v>
          </cell>
          <cell r="E86">
            <v>8</v>
          </cell>
        </row>
        <row r="87">
          <cell r="A87" t="str">
            <v>顧客コード体系</v>
          </cell>
          <cell r="B87" t="str">
            <v>CTユーザ会社名</v>
          </cell>
          <cell r="C87" t="str">
            <v>CT休日区分</v>
          </cell>
          <cell r="D87" t="str">
            <v>varchar</v>
          </cell>
          <cell r="E87">
            <v>2</v>
          </cell>
        </row>
        <row r="88">
          <cell r="A88" t="str">
            <v>公社債_株式</v>
          </cell>
          <cell r="B88" t="str">
            <v>CT有価証券取引税</v>
          </cell>
          <cell r="C88" t="str">
            <v>CT休日区分</v>
          </cell>
          <cell r="D88" t="str">
            <v>varchar</v>
          </cell>
          <cell r="E88">
            <v>20</v>
          </cell>
        </row>
        <row r="89">
          <cell r="A89" t="str">
            <v>口座ステイタス区分コード</v>
          </cell>
          <cell r="B89" t="str">
            <v>CT口座ステイタス</v>
          </cell>
          <cell r="C89" t="str">
            <v>○</v>
          </cell>
          <cell r="D89" t="str">
            <v>varchar</v>
          </cell>
          <cell r="E89">
            <v>2</v>
          </cell>
        </row>
        <row r="90">
          <cell r="A90" t="str">
            <v>更新年月日</v>
          </cell>
          <cell r="B90" t="str">
            <v>CTテーブル更新情報</v>
          </cell>
          <cell r="C90" t="str">
            <v>CT決済銀行</v>
          </cell>
          <cell r="D90" t="str">
            <v>datetime</v>
          </cell>
          <cell r="E90">
            <v>15</v>
          </cell>
        </row>
        <row r="91">
          <cell r="A91" t="str">
            <v>項番</v>
          </cell>
          <cell r="B91" t="str">
            <v>CT出金FD</v>
          </cell>
          <cell r="C91" t="str">
            <v>CT決済銀行</v>
          </cell>
          <cell r="D91" t="str">
            <v>varchar</v>
          </cell>
          <cell r="E91">
            <v>50</v>
          </cell>
        </row>
        <row r="92">
          <cell r="A92" t="str">
            <v>項番</v>
          </cell>
          <cell r="B92" t="str">
            <v>CT帳面文言</v>
          </cell>
          <cell r="C92" t="str">
            <v>○</v>
          </cell>
          <cell r="D92" t="str">
            <v>int</v>
          </cell>
          <cell r="E92">
            <v>4</v>
          </cell>
        </row>
        <row r="93">
          <cell r="A93" t="str">
            <v>使用システム</v>
          </cell>
          <cell r="B93" t="str">
            <v>CTユーザ会社名</v>
          </cell>
          <cell r="C93" t="str">
            <v>CT決済銀行支店</v>
          </cell>
          <cell r="D93" t="str">
            <v>varchar</v>
          </cell>
          <cell r="E93">
            <v>12</v>
          </cell>
        </row>
        <row r="94">
          <cell r="A94" t="str">
            <v>市外局番桁数</v>
          </cell>
          <cell r="B94" t="str">
            <v>CT受託銀行</v>
          </cell>
          <cell r="C94" t="str">
            <v>CT決済銀行支店</v>
          </cell>
          <cell r="D94" t="str">
            <v>int</v>
          </cell>
          <cell r="E94">
            <v>15</v>
          </cell>
        </row>
        <row r="95">
          <cell r="A95" t="str">
            <v>市外局番桁数2</v>
          </cell>
          <cell r="B95" t="str">
            <v>CT受託銀行</v>
          </cell>
          <cell r="C95" t="str">
            <v>CT決済銀行支店</v>
          </cell>
          <cell r="D95" t="str">
            <v>int</v>
          </cell>
          <cell r="E95">
            <v>50</v>
          </cell>
        </row>
        <row r="96">
          <cell r="A96" t="str">
            <v>市区町村コード</v>
          </cell>
          <cell r="B96" t="str">
            <v>CT市区町村</v>
          </cell>
          <cell r="C96" t="str">
            <v>○</v>
          </cell>
          <cell r="D96" t="str">
            <v>varchar</v>
          </cell>
          <cell r="E96">
            <v>3</v>
          </cell>
        </row>
        <row r="97">
          <cell r="A97" t="str">
            <v>市区町村コード</v>
          </cell>
          <cell r="B97" t="str">
            <v>CT支店</v>
          </cell>
          <cell r="C97" t="str">
            <v>CT肩書区分</v>
          </cell>
          <cell r="D97" t="str">
            <v>varchar</v>
          </cell>
          <cell r="E97">
            <v>3</v>
          </cell>
        </row>
        <row r="98">
          <cell r="A98" t="str">
            <v>市区町村名</v>
          </cell>
          <cell r="B98" t="str">
            <v>CT市区町村</v>
          </cell>
          <cell r="C98" t="str">
            <v>CT口座ステイタス</v>
          </cell>
          <cell r="D98" t="str">
            <v>varchar</v>
          </cell>
          <cell r="E98">
            <v>50</v>
          </cell>
        </row>
        <row r="99">
          <cell r="A99" t="str">
            <v>市区町村名</v>
          </cell>
          <cell r="B99" t="str">
            <v>CT郵便番号</v>
          </cell>
          <cell r="C99" t="str">
            <v>CT口座ステイタス</v>
          </cell>
          <cell r="D99" t="str">
            <v>varchar</v>
          </cell>
          <cell r="E99">
            <v>50</v>
          </cell>
        </row>
        <row r="100">
          <cell r="A100" t="str">
            <v>支店コード</v>
          </cell>
          <cell r="B100" t="str">
            <v>CT支店</v>
          </cell>
          <cell r="C100" t="str">
            <v>○</v>
          </cell>
          <cell r="D100" t="str">
            <v>varchar</v>
          </cell>
          <cell r="E100">
            <v>3</v>
          </cell>
        </row>
        <row r="101">
          <cell r="A101" t="str">
            <v>支店出力</v>
          </cell>
          <cell r="B101" t="str">
            <v>CT帳票名</v>
          </cell>
          <cell r="C101" t="str">
            <v>CT市区町村</v>
          </cell>
          <cell r="D101" t="str">
            <v>bit</v>
          </cell>
          <cell r="E101">
            <v>2</v>
          </cell>
        </row>
        <row r="102">
          <cell r="A102" t="str">
            <v>支店名</v>
          </cell>
          <cell r="B102" t="str">
            <v>CT支店</v>
          </cell>
          <cell r="C102" t="str">
            <v>CT市区町村</v>
          </cell>
          <cell r="D102" t="str">
            <v>varchar</v>
          </cell>
          <cell r="E102">
            <v>50</v>
          </cell>
        </row>
        <row r="103">
          <cell r="A103" t="str">
            <v>資金性格区分コード</v>
          </cell>
          <cell r="B103" t="str">
            <v>CT資金性格</v>
          </cell>
          <cell r="C103" t="str">
            <v>○</v>
          </cell>
          <cell r="D103" t="str">
            <v>varchar</v>
          </cell>
          <cell r="E103">
            <v>2</v>
          </cell>
        </row>
        <row r="104">
          <cell r="A104" t="str">
            <v>社印表示</v>
          </cell>
          <cell r="B104" t="str">
            <v>CTユーザ会社名</v>
          </cell>
          <cell r="C104" t="str">
            <v>CT支店</v>
          </cell>
          <cell r="D104" t="str">
            <v>bit</v>
          </cell>
          <cell r="E104">
            <v>20</v>
          </cell>
        </row>
        <row r="105">
          <cell r="A105" t="str">
            <v>社名表示</v>
          </cell>
          <cell r="B105" t="str">
            <v>CTユーザ会社名</v>
          </cell>
          <cell r="C105" t="str">
            <v>CT支店</v>
          </cell>
          <cell r="D105" t="str">
            <v>bit</v>
          </cell>
          <cell r="E105">
            <v>3</v>
          </cell>
        </row>
        <row r="106">
          <cell r="A106" t="str">
            <v>取扱店コード</v>
          </cell>
          <cell r="B106" t="str">
            <v>CTユーザ情報</v>
          </cell>
          <cell r="C106" t="str">
            <v>CT支店</v>
          </cell>
          <cell r="D106" t="str">
            <v>varchar</v>
          </cell>
          <cell r="E106">
            <v>3</v>
          </cell>
        </row>
        <row r="107">
          <cell r="A107" t="str">
            <v>取引動機区分コード</v>
          </cell>
          <cell r="B107" t="str">
            <v>CT取引動機</v>
          </cell>
          <cell r="C107" t="str">
            <v>CT支店</v>
          </cell>
          <cell r="D107" t="str">
            <v>varchar</v>
          </cell>
          <cell r="E107">
            <v>12</v>
          </cell>
        </row>
        <row r="108">
          <cell r="A108" t="str">
            <v>取引方式区分コード</v>
          </cell>
          <cell r="B108" t="str">
            <v>CT取引方式区分</v>
          </cell>
          <cell r="C108" t="str">
            <v>CT支店</v>
          </cell>
          <cell r="D108" t="str">
            <v>varchar</v>
          </cell>
          <cell r="E108">
            <v>32</v>
          </cell>
        </row>
        <row r="109">
          <cell r="A109" t="str">
            <v>終了年</v>
          </cell>
          <cell r="B109" t="str">
            <v>CT休日_月日指定</v>
          </cell>
          <cell r="C109" t="str">
            <v>CT支店</v>
          </cell>
          <cell r="D109" t="str">
            <v>int</v>
          </cell>
          <cell r="E109">
            <v>32</v>
          </cell>
        </row>
        <row r="110">
          <cell r="A110" t="str">
            <v>終了年</v>
          </cell>
          <cell r="B110" t="str">
            <v>CT休日_曜日指定</v>
          </cell>
          <cell r="C110" t="str">
            <v>CT支店</v>
          </cell>
          <cell r="D110" t="str">
            <v>int</v>
          </cell>
          <cell r="E110">
            <v>80</v>
          </cell>
        </row>
        <row r="111">
          <cell r="A111" t="str">
            <v>週</v>
          </cell>
          <cell r="B111" t="str">
            <v>CT休日_曜日指定</v>
          </cell>
          <cell r="C111" t="str">
            <v>CT支店</v>
          </cell>
          <cell r="D111" t="str">
            <v>varchar</v>
          </cell>
          <cell r="E111">
            <v>20</v>
          </cell>
        </row>
        <row r="112">
          <cell r="A112" t="str">
            <v>住所1</v>
          </cell>
          <cell r="B112" t="str">
            <v>CTユーザ会社名</v>
          </cell>
          <cell r="C112" t="str">
            <v>CT支店</v>
          </cell>
          <cell r="D112" t="str">
            <v>varchar</v>
          </cell>
          <cell r="E112">
            <v>12</v>
          </cell>
        </row>
        <row r="113">
          <cell r="A113" t="str">
            <v>住所1</v>
          </cell>
          <cell r="B113" t="str">
            <v>CT支店</v>
          </cell>
          <cell r="C113" t="str">
            <v>CT支店</v>
          </cell>
          <cell r="D113" t="str">
            <v>varchar</v>
          </cell>
          <cell r="E113">
            <v>12</v>
          </cell>
        </row>
        <row r="114">
          <cell r="A114" t="str">
            <v>住所1</v>
          </cell>
          <cell r="B114" t="str">
            <v>CT住所</v>
          </cell>
          <cell r="C114" t="str">
            <v>CT支店</v>
          </cell>
          <cell r="D114" t="str">
            <v>varchar</v>
          </cell>
          <cell r="E114">
            <v>12</v>
          </cell>
        </row>
        <row r="115">
          <cell r="A115" t="str">
            <v>住所2</v>
          </cell>
          <cell r="B115" t="str">
            <v>CTユーザ会社名</v>
          </cell>
          <cell r="C115" t="str">
            <v>CT資金性格</v>
          </cell>
          <cell r="D115" t="str">
            <v>varchar</v>
          </cell>
          <cell r="E115">
            <v>32</v>
          </cell>
        </row>
        <row r="116">
          <cell r="A116" t="str">
            <v>住所2</v>
          </cell>
          <cell r="B116" t="str">
            <v>CT支店</v>
          </cell>
          <cell r="C116" t="str">
            <v>CT資金性格</v>
          </cell>
          <cell r="D116" t="str">
            <v>varchar</v>
          </cell>
          <cell r="E116">
            <v>32</v>
          </cell>
        </row>
        <row r="117">
          <cell r="A117" t="str">
            <v>住所2</v>
          </cell>
          <cell r="B117" t="str">
            <v>CT住所</v>
          </cell>
          <cell r="C117" t="str">
            <v>CT取引動機</v>
          </cell>
          <cell r="D117" t="str">
            <v>varchar</v>
          </cell>
          <cell r="E117">
            <v>32</v>
          </cell>
        </row>
        <row r="118">
          <cell r="A118" t="str">
            <v>住所3</v>
          </cell>
          <cell r="B118" t="str">
            <v>CTユーザ会社名</v>
          </cell>
          <cell r="C118" t="str">
            <v>CT取引動機</v>
          </cell>
          <cell r="D118" t="str">
            <v>varchar</v>
          </cell>
          <cell r="E118">
            <v>32</v>
          </cell>
        </row>
        <row r="119">
          <cell r="A119" t="str">
            <v>住所3</v>
          </cell>
          <cell r="B119" t="str">
            <v>CT支店</v>
          </cell>
          <cell r="C119" t="str">
            <v>CT取引方式区分</v>
          </cell>
          <cell r="D119" t="str">
            <v>varchar</v>
          </cell>
          <cell r="E119">
            <v>32</v>
          </cell>
        </row>
        <row r="120">
          <cell r="A120" t="str">
            <v>住所3</v>
          </cell>
          <cell r="B120" t="str">
            <v>CT住所</v>
          </cell>
          <cell r="C120" t="str">
            <v>CT取引方式区分</v>
          </cell>
          <cell r="D120" t="str">
            <v>varchar</v>
          </cell>
          <cell r="E120">
            <v>32</v>
          </cell>
        </row>
        <row r="121">
          <cell r="A121" t="str">
            <v>住所4</v>
          </cell>
          <cell r="B121" t="str">
            <v>CTユーザ会社名</v>
          </cell>
          <cell r="C121" t="str">
            <v>CT受託銀行</v>
          </cell>
          <cell r="D121" t="str">
            <v>varchar</v>
          </cell>
          <cell r="E121">
            <v>32</v>
          </cell>
        </row>
        <row r="122">
          <cell r="A122" t="str">
            <v>住所4</v>
          </cell>
          <cell r="B122" t="str">
            <v>CT支店</v>
          </cell>
          <cell r="C122" t="str">
            <v>CT受託銀行</v>
          </cell>
          <cell r="D122" t="str">
            <v>varchar</v>
          </cell>
          <cell r="E122">
            <v>80</v>
          </cell>
        </row>
        <row r="123">
          <cell r="A123" t="str">
            <v>住所4</v>
          </cell>
          <cell r="B123" t="str">
            <v>CT住所</v>
          </cell>
          <cell r="C123" t="str">
            <v>CT受託銀行</v>
          </cell>
          <cell r="D123" t="str">
            <v>varchar</v>
          </cell>
          <cell r="E123">
            <v>80</v>
          </cell>
        </row>
        <row r="124">
          <cell r="A124" t="str">
            <v>住所コード</v>
          </cell>
          <cell r="B124" t="str">
            <v>CT住所</v>
          </cell>
          <cell r="C124" t="str">
            <v>CT受託銀行</v>
          </cell>
          <cell r="D124" t="str">
            <v>varchar</v>
          </cell>
          <cell r="E124">
            <v>20</v>
          </cell>
        </row>
        <row r="125">
          <cell r="A125" t="str">
            <v>住所コード</v>
          </cell>
          <cell r="B125" t="str">
            <v>CT支店</v>
          </cell>
          <cell r="C125" t="str">
            <v>CT受託銀行</v>
          </cell>
          <cell r="D125" t="str">
            <v>varchar</v>
          </cell>
          <cell r="E125">
            <v>20</v>
          </cell>
        </row>
        <row r="126">
          <cell r="A126" t="str">
            <v>出力フラグ</v>
          </cell>
          <cell r="B126" t="str">
            <v>CT出金FD</v>
          </cell>
          <cell r="C126" t="str">
            <v>CT受託銀行</v>
          </cell>
          <cell r="D126" t="str">
            <v>bit</v>
          </cell>
          <cell r="E126">
            <v>30</v>
          </cell>
        </row>
        <row r="127">
          <cell r="A127" t="str">
            <v>出力年月日</v>
          </cell>
          <cell r="B127" t="str">
            <v>CT出金FD</v>
          </cell>
          <cell r="C127" t="str">
            <v>CT受託銀行</v>
          </cell>
          <cell r="D127" t="str">
            <v>datetime</v>
          </cell>
        </row>
        <row r="128">
          <cell r="A128" t="str">
            <v>処理年月日</v>
          </cell>
          <cell r="B128" t="str">
            <v>CTシステムステイタス</v>
          </cell>
          <cell r="C128" t="str">
            <v>CT受託銀行</v>
          </cell>
          <cell r="D128" t="str">
            <v>int</v>
          </cell>
        </row>
        <row r="129">
          <cell r="A129" t="str">
            <v>所属</v>
          </cell>
          <cell r="B129" t="str">
            <v>CTユーザ情報</v>
          </cell>
          <cell r="C129" t="str">
            <v>CT受託銀行</v>
          </cell>
          <cell r="D129" t="str">
            <v>varchar</v>
          </cell>
          <cell r="E129">
            <v>50</v>
          </cell>
        </row>
        <row r="130">
          <cell r="A130" t="str">
            <v>所得税率</v>
          </cell>
          <cell r="B130" t="str">
            <v>CT税区分</v>
          </cell>
          <cell r="C130" t="str">
            <v>CT受託銀行</v>
          </cell>
          <cell r="D130" t="str">
            <v>money</v>
          </cell>
          <cell r="E130">
            <v>2</v>
          </cell>
        </row>
        <row r="131">
          <cell r="A131" t="str">
            <v>消費税率</v>
          </cell>
          <cell r="B131" t="str">
            <v>CT消費税率</v>
          </cell>
          <cell r="C131" t="str">
            <v>CT受託銀行</v>
          </cell>
          <cell r="D131" t="str">
            <v>money</v>
          </cell>
          <cell r="E131">
            <v>4</v>
          </cell>
        </row>
        <row r="132">
          <cell r="A132" t="str">
            <v>職業区分コード</v>
          </cell>
          <cell r="B132" t="str">
            <v>CT職業区分</v>
          </cell>
          <cell r="C132" t="str">
            <v>CT受託銀行</v>
          </cell>
          <cell r="D132" t="str">
            <v>varchar</v>
          </cell>
          <cell r="E132">
            <v>10</v>
          </cell>
        </row>
        <row r="133">
          <cell r="A133" t="str">
            <v>税区分コード</v>
          </cell>
          <cell r="B133" t="str">
            <v>CT税区分</v>
          </cell>
          <cell r="C133" t="str">
            <v>CT受託銀行</v>
          </cell>
          <cell r="D133" t="str">
            <v>varchar</v>
          </cell>
          <cell r="E133">
            <v>3</v>
          </cell>
        </row>
        <row r="134">
          <cell r="A134" t="str">
            <v>総限度額</v>
          </cell>
          <cell r="B134" t="str">
            <v>CTユーザ会社名</v>
          </cell>
          <cell r="C134" t="str">
            <v>CT受託銀行</v>
          </cell>
          <cell r="D134" t="str">
            <v>money</v>
          </cell>
        </row>
        <row r="135">
          <cell r="A135" t="str">
            <v>代行証券会社名</v>
          </cell>
          <cell r="B135" t="str">
            <v>CT代行証券会社</v>
          </cell>
          <cell r="C135" t="str">
            <v>CT受託銀行</v>
          </cell>
          <cell r="D135" t="str">
            <v>varchar</v>
          </cell>
          <cell r="E135">
            <v>50</v>
          </cell>
        </row>
        <row r="136">
          <cell r="A136" t="str">
            <v>地方税率</v>
          </cell>
          <cell r="B136" t="str">
            <v>CT税区分</v>
          </cell>
          <cell r="C136" t="str">
            <v>CT受託銀行</v>
          </cell>
          <cell r="D136" t="str">
            <v>money</v>
          </cell>
          <cell r="E136">
            <v>20</v>
          </cell>
        </row>
        <row r="137">
          <cell r="A137" t="str">
            <v>抽出条件</v>
          </cell>
          <cell r="B137" t="str">
            <v>CT帳票名</v>
          </cell>
          <cell r="C137" t="str">
            <v>CT受託銀行</v>
          </cell>
          <cell r="D137" t="str">
            <v>varchar</v>
          </cell>
          <cell r="E137">
            <v>255</v>
          </cell>
        </row>
        <row r="138">
          <cell r="A138" t="str">
            <v>帳票キー</v>
          </cell>
          <cell r="B138" t="str">
            <v>CT帳面文言</v>
          </cell>
          <cell r="C138" t="str">
            <v>CT受託銀行</v>
          </cell>
          <cell r="D138" t="str">
            <v>varchar</v>
          </cell>
          <cell r="E138">
            <v>2</v>
          </cell>
        </row>
        <row r="139">
          <cell r="A139" t="str">
            <v>帳票管理番号</v>
          </cell>
          <cell r="B139" t="str">
            <v>CT帳票名</v>
          </cell>
          <cell r="C139" t="str">
            <v>CT受託銀行</v>
          </cell>
          <cell r="D139" t="str">
            <v>varchar</v>
          </cell>
          <cell r="E139">
            <v>20</v>
          </cell>
        </row>
        <row r="140">
          <cell r="A140" t="str">
            <v>帳票区分</v>
          </cell>
          <cell r="B140" t="str">
            <v>CT帳票名</v>
          </cell>
          <cell r="C140" t="str">
            <v>CT受託銀行</v>
          </cell>
          <cell r="D140" t="str">
            <v>int</v>
          </cell>
          <cell r="E140">
            <v>10</v>
          </cell>
        </row>
        <row r="141">
          <cell r="A141" t="str">
            <v>帳票項番</v>
          </cell>
          <cell r="B141" t="str">
            <v>CT帳票名</v>
          </cell>
          <cell r="C141" t="str">
            <v>CT受託銀行</v>
          </cell>
          <cell r="D141" t="str">
            <v>varchar</v>
          </cell>
          <cell r="E141">
            <v>255</v>
          </cell>
        </row>
        <row r="142">
          <cell r="A142" t="str">
            <v>帳票名</v>
          </cell>
          <cell r="B142" t="str">
            <v>CT帳面文言</v>
          </cell>
          <cell r="C142" t="str">
            <v>CT受託銀行</v>
          </cell>
          <cell r="D142" t="str">
            <v>varchar</v>
          </cell>
          <cell r="E142">
            <v>50</v>
          </cell>
        </row>
        <row r="143">
          <cell r="A143" t="str">
            <v>帳票名</v>
          </cell>
          <cell r="B143" t="str">
            <v>CT帳票名</v>
          </cell>
          <cell r="C143" t="str">
            <v>CT受託銀行</v>
          </cell>
          <cell r="D143" t="str">
            <v>varchar</v>
          </cell>
          <cell r="E143">
            <v>50</v>
          </cell>
        </row>
        <row r="144">
          <cell r="A144" t="str">
            <v>帳面文言</v>
          </cell>
          <cell r="B144" t="str">
            <v>CT科目</v>
          </cell>
          <cell r="C144" t="str">
            <v>CT住所</v>
          </cell>
          <cell r="D144" t="str">
            <v>varchar</v>
          </cell>
          <cell r="E144">
            <v>4</v>
          </cell>
        </row>
        <row r="145">
          <cell r="A145" t="str">
            <v>町域名</v>
          </cell>
          <cell r="B145" t="str">
            <v>CT郵便番号</v>
          </cell>
          <cell r="C145" t="str">
            <v>CT住所</v>
          </cell>
          <cell r="D145" t="str">
            <v>varchar</v>
          </cell>
          <cell r="E145">
            <v>128</v>
          </cell>
        </row>
        <row r="146">
          <cell r="A146" t="str">
            <v>定残出力間隔</v>
          </cell>
          <cell r="B146" t="str">
            <v>CTユーザ会社名</v>
          </cell>
          <cell r="C146" t="str">
            <v>CT住所</v>
          </cell>
          <cell r="D146" t="str">
            <v>int</v>
          </cell>
          <cell r="E146">
            <v>32</v>
          </cell>
        </row>
        <row r="147">
          <cell r="A147" t="str">
            <v>締ステイタス</v>
          </cell>
          <cell r="B147" t="str">
            <v>CTシステムステイタス</v>
          </cell>
          <cell r="C147" t="str">
            <v>CT住所</v>
          </cell>
          <cell r="D147" t="str">
            <v>bit</v>
          </cell>
          <cell r="E147">
            <v>32</v>
          </cell>
        </row>
        <row r="148">
          <cell r="A148" t="str">
            <v>締実行中フラグ</v>
          </cell>
          <cell r="B148" t="str">
            <v>CTシステムステイタス</v>
          </cell>
          <cell r="C148" t="str">
            <v>CT住所</v>
          </cell>
          <cell r="D148" t="str">
            <v>bit</v>
          </cell>
          <cell r="E148">
            <v>80</v>
          </cell>
        </row>
        <row r="149">
          <cell r="A149" t="str">
            <v>摘要</v>
          </cell>
          <cell r="B149" t="str">
            <v>CTMMF分配金計算</v>
          </cell>
          <cell r="C149" t="str">
            <v>CT出金FD</v>
          </cell>
          <cell r="D149" t="str">
            <v>varchar</v>
          </cell>
          <cell r="E149">
            <v>20</v>
          </cell>
        </row>
        <row r="150">
          <cell r="A150" t="str">
            <v>摘要</v>
          </cell>
          <cell r="B150" t="str">
            <v>CT買戻し対象</v>
          </cell>
          <cell r="C150" t="str">
            <v>CT出金FD</v>
          </cell>
          <cell r="D150" t="str">
            <v>varchar</v>
          </cell>
          <cell r="E150">
            <v>20</v>
          </cell>
        </row>
        <row r="151">
          <cell r="A151" t="str">
            <v>摘要</v>
          </cell>
          <cell r="B151" t="str">
            <v>CT為替レート登録区分</v>
          </cell>
          <cell r="C151" t="str">
            <v>CT出金FD</v>
          </cell>
          <cell r="D151" t="str">
            <v>varchar</v>
          </cell>
          <cell r="E151">
            <v>20</v>
          </cell>
        </row>
        <row r="152">
          <cell r="A152" t="str">
            <v>摘要</v>
          </cell>
          <cell r="B152" t="str">
            <v>CT決済区分</v>
          </cell>
          <cell r="C152" t="str">
            <v>CT出金FD</v>
          </cell>
          <cell r="D152" t="str">
            <v>varchar</v>
          </cell>
          <cell r="E152">
            <v>20</v>
          </cell>
        </row>
        <row r="153">
          <cell r="A153" t="str">
            <v>摘要</v>
          </cell>
          <cell r="B153" t="str">
            <v>CTシステムコード</v>
          </cell>
          <cell r="C153" t="str">
            <v>CT出金FD</v>
          </cell>
          <cell r="D153" t="str">
            <v>varchar</v>
          </cell>
          <cell r="E153">
            <v>40</v>
          </cell>
        </row>
        <row r="154">
          <cell r="A154" t="str">
            <v>摘要</v>
          </cell>
          <cell r="B154" t="str">
            <v>CTリスク分類</v>
          </cell>
          <cell r="C154" t="str">
            <v>CT消費税率</v>
          </cell>
          <cell r="D154" t="str">
            <v>varchar</v>
          </cell>
          <cell r="E154">
            <v>50</v>
          </cell>
        </row>
        <row r="155">
          <cell r="A155" t="str">
            <v>摘要</v>
          </cell>
          <cell r="B155" t="str">
            <v>CT案内指定区分</v>
          </cell>
          <cell r="C155" t="str">
            <v>CT消費税率</v>
          </cell>
          <cell r="D155" t="str">
            <v>varchar</v>
          </cell>
          <cell r="E155">
            <v>50</v>
          </cell>
        </row>
        <row r="156">
          <cell r="A156" t="str">
            <v>摘要</v>
          </cell>
          <cell r="B156" t="str">
            <v>CT移管</v>
          </cell>
          <cell r="C156" t="str">
            <v>CT職業区分</v>
          </cell>
          <cell r="D156" t="str">
            <v>varchar</v>
          </cell>
          <cell r="E156">
            <v>10</v>
          </cell>
        </row>
        <row r="157">
          <cell r="A157" t="str">
            <v>摘要</v>
          </cell>
          <cell r="B157" t="str">
            <v>CT科目</v>
          </cell>
          <cell r="C157" t="str">
            <v>CT職業区分</v>
          </cell>
          <cell r="D157" t="str">
            <v>varchar</v>
          </cell>
          <cell r="E157">
            <v>10</v>
          </cell>
        </row>
        <row r="158">
          <cell r="A158" t="str">
            <v>摘要</v>
          </cell>
          <cell r="B158" t="str">
            <v>CT休日_月日指定</v>
          </cell>
          <cell r="C158" t="str">
            <v>CT税区分</v>
          </cell>
          <cell r="D158" t="str">
            <v>varchar</v>
          </cell>
          <cell r="E158">
            <v>20</v>
          </cell>
        </row>
        <row r="159">
          <cell r="A159" t="str">
            <v>摘要</v>
          </cell>
          <cell r="B159" t="str">
            <v>CT休日_春分秋分</v>
          </cell>
          <cell r="C159" t="str">
            <v>CT税区分</v>
          </cell>
          <cell r="D159" t="str">
            <v>varchar</v>
          </cell>
          <cell r="E159">
            <v>20</v>
          </cell>
        </row>
        <row r="160">
          <cell r="A160" t="str">
            <v>摘要</v>
          </cell>
          <cell r="B160" t="str">
            <v>CT休日_曜日指定</v>
          </cell>
          <cell r="C160" t="str">
            <v>CT税区分</v>
          </cell>
          <cell r="D160" t="str">
            <v>varchar</v>
          </cell>
          <cell r="E160">
            <v>20</v>
          </cell>
        </row>
        <row r="161">
          <cell r="A161" t="str">
            <v>摘要</v>
          </cell>
          <cell r="B161" t="str">
            <v>CT休日区分</v>
          </cell>
          <cell r="C161" t="str">
            <v>CT税区分</v>
          </cell>
          <cell r="D161" t="str">
            <v>varchar</v>
          </cell>
          <cell r="E161">
            <v>20</v>
          </cell>
        </row>
        <row r="162">
          <cell r="A162" t="str">
            <v>摘要</v>
          </cell>
          <cell r="B162" t="str">
            <v>CT肩書区分</v>
          </cell>
          <cell r="C162" t="str">
            <v>CT税区分</v>
          </cell>
          <cell r="D162" t="str">
            <v>varchar</v>
          </cell>
          <cell r="E162">
            <v>50</v>
          </cell>
        </row>
        <row r="163">
          <cell r="A163" t="str">
            <v>摘要</v>
          </cell>
          <cell r="B163" t="str">
            <v>CT口座ステイタス</v>
          </cell>
          <cell r="C163" t="str">
            <v>CT帳票名</v>
          </cell>
          <cell r="D163" t="str">
            <v>varchar</v>
          </cell>
          <cell r="E163">
            <v>20</v>
          </cell>
        </row>
        <row r="164">
          <cell r="A164" t="str">
            <v>摘要</v>
          </cell>
          <cell r="B164" t="str">
            <v>CT資金性格</v>
          </cell>
          <cell r="C164" t="str">
            <v>CT帳票名</v>
          </cell>
          <cell r="D164" t="str">
            <v>varchar</v>
          </cell>
          <cell r="E164">
            <v>20</v>
          </cell>
        </row>
        <row r="165">
          <cell r="A165" t="str">
            <v>摘要</v>
          </cell>
          <cell r="B165" t="str">
            <v>CT取引動機</v>
          </cell>
          <cell r="C165" t="str">
            <v>CT帳票名</v>
          </cell>
          <cell r="D165" t="str">
            <v>varchar</v>
          </cell>
          <cell r="E165">
            <v>20</v>
          </cell>
        </row>
        <row r="166">
          <cell r="A166" t="str">
            <v>摘要</v>
          </cell>
          <cell r="B166" t="str">
            <v>CT取引方式区分</v>
          </cell>
          <cell r="C166" t="str">
            <v>CT帳票名</v>
          </cell>
          <cell r="D166" t="str">
            <v>varchar</v>
          </cell>
          <cell r="E166">
            <v>50</v>
          </cell>
        </row>
        <row r="167">
          <cell r="A167" t="str">
            <v>摘要</v>
          </cell>
          <cell r="B167" t="str">
            <v>CT職業区分</v>
          </cell>
          <cell r="C167" t="str">
            <v>CT帳票名</v>
          </cell>
          <cell r="D167" t="str">
            <v>varchar</v>
          </cell>
          <cell r="E167">
            <v>50</v>
          </cell>
        </row>
        <row r="168">
          <cell r="A168" t="str">
            <v>摘要</v>
          </cell>
          <cell r="B168" t="str">
            <v>CT税区分</v>
          </cell>
          <cell r="C168" t="str">
            <v>CT帳票名</v>
          </cell>
          <cell r="D168" t="str">
            <v>varchar</v>
          </cell>
          <cell r="E168">
            <v>20</v>
          </cell>
        </row>
        <row r="169">
          <cell r="A169" t="str">
            <v>摘要</v>
          </cell>
          <cell r="B169" t="str">
            <v>CT入出金経路</v>
          </cell>
          <cell r="C169" t="str">
            <v>CT帳票名</v>
          </cell>
          <cell r="D169" t="str">
            <v>varchar</v>
          </cell>
          <cell r="E169">
            <v>50</v>
          </cell>
        </row>
        <row r="170">
          <cell r="A170" t="str">
            <v>摘要</v>
          </cell>
          <cell r="B170" t="str">
            <v>CT法人区分</v>
          </cell>
          <cell r="C170" t="str">
            <v>CT帳票名</v>
          </cell>
          <cell r="D170" t="str">
            <v>varchar</v>
          </cell>
          <cell r="E170">
            <v>50</v>
          </cell>
        </row>
        <row r="171">
          <cell r="A171" t="str">
            <v>摘要</v>
          </cell>
          <cell r="B171" t="str">
            <v>CT法人区分_分類</v>
          </cell>
          <cell r="C171" t="str">
            <v>CT帳票名</v>
          </cell>
          <cell r="D171" t="str">
            <v>varchar</v>
          </cell>
          <cell r="E171">
            <v>50</v>
          </cell>
        </row>
        <row r="172">
          <cell r="A172" t="str">
            <v>摘要</v>
          </cell>
          <cell r="B172" t="str">
            <v>CT本人確認書類</v>
          </cell>
          <cell r="C172" t="str">
            <v>CT帳票名</v>
          </cell>
          <cell r="D172" t="str">
            <v>varchar</v>
          </cell>
          <cell r="E172">
            <v>50</v>
          </cell>
        </row>
        <row r="173">
          <cell r="A173" t="str">
            <v>摘要</v>
          </cell>
          <cell r="B173" t="str">
            <v>CT名義人区分</v>
          </cell>
          <cell r="C173" t="str">
            <v>CT帳票名</v>
          </cell>
          <cell r="D173" t="str">
            <v>varchar</v>
          </cell>
          <cell r="E173">
            <v>20</v>
          </cell>
        </row>
        <row r="174">
          <cell r="A174" t="str">
            <v>摘要</v>
          </cell>
          <cell r="B174" t="str">
            <v>CT約定方法</v>
          </cell>
          <cell r="C174" t="str">
            <v>CT帳票名</v>
          </cell>
          <cell r="D174" t="str">
            <v>varchar</v>
          </cell>
          <cell r="E174">
            <v>12</v>
          </cell>
        </row>
        <row r="175">
          <cell r="A175" t="str">
            <v>摘要</v>
          </cell>
          <cell r="B175" t="str">
            <v>CT預り区分</v>
          </cell>
          <cell r="C175" t="str">
            <v>CT帳面文言</v>
          </cell>
          <cell r="D175" t="str">
            <v>varchar</v>
          </cell>
          <cell r="E175">
            <v>20</v>
          </cell>
        </row>
        <row r="176">
          <cell r="A176" t="str">
            <v>摘要</v>
          </cell>
          <cell r="B176" t="str">
            <v>CT預り指定</v>
          </cell>
          <cell r="C176" t="str">
            <v>CT帳面文言</v>
          </cell>
          <cell r="D176" t="str">
            <v>varchar</v>
          </cell>
          <cell r="E176">
            <v>20</v>
          </cell>
        </row>
        <row r="177">
          <cell r="A177" t="str">
            <v>摘要2 (20)</v>
          </cell>
          <cell r="B177" t="str">
            <v>CT休日区分</v>
          </cell>
          <cell r="C177" t="str">
            <v>CT帳面文言</v>
          </cell>
          <cell r="D177" t="str">
            <v>varchar</v>
          </cell>
          <cell r="E177">
            <v>20</v>
          </cell>
        </row>
        <row r="178">
          <cell r="A178" t="str">
            <v>適用年月日</v>
          </cell>
          <cell r="B178" t="str">
            <v>CT消費税率</v>
          </cell>
          <cell r="C178" t="str">
            <v>CT帳面文言</v>
          </cell>
          <cell r="D178" t="str">
            <v>varchar</v>
          </cell>
          <cell r="E178">
            <v>50</v>
          </cell>
        </row>
        <row r="179">
          <cell r="A179" t="str">
            <v>適用年月日</v>
          </cell>
          <cell r="B179" t="str">
            <v>CT税区分</v>
          </cell>
          <cell r="C179" t="str">
            <v>CT帳面文言</v>
          </cell>
          <cell r="D179" t="str">
            <v>varchar</v>
          </cell>
          <cell r="E179">
            <v>255</v>
          </cell>
        </row>
        <row r="180">
          <cell r="A180" t="str">
            <v>適用年月日</v>
          </cell>
          <cell r="B180" t="str">
            <v>CT有価証券取引税</v>
          </cell>
          <cell r="C180" t="str">
            <v>○</v>
          </cell>
          <cell r="D180" t="str">
            <v>datetime</v>
          </cell>
          <cell r="E180">
            <v>2</v>
          </cell>
        </row>
        <row r="181">
          <cell r="A181" t="str">
            <v>電話番号</v>
          </cell>
          <cell r="B181" t="str">
            <v>CTユーザ会社名</v>
          </cell>
          <cell r="C181" t="str">
            <v>CT都道府県</v>
          </cell>
          <cell r="D181" t="str">
            <v>varchar</v>
          </cell>
          <cell r="E181">
            <v>20</v>
          </cell>
        </row>
        <row r="182">
          <cell r="A182" t="str">
            <v>電話番号</v>
          </cell>
          <cell r="B182" t="str">
            <v>CT支店</v>
          </cell>
          <cell r="C182" t="str">
            <v>CT投信会社</v>
          </cell>
          <cell r="D182" t="str">
            <v>varchar</v>
          </cell>
          <cell r="E182">
            <v>20</v>
          </cell>
        </row>
        <row r="183">
          <cell r="A183" t="str">
            <v>電話番号</v>
          </cell>
          <cell r="B183" t="str">
            <v>CT受託銀行</v>
          </cell>
          <cell r="C183" t="str">
            <v>CT投信会社</v>
          </cell>
          <cell r="D183" t="str">
            <v>varchar</v>
          </cell>
          <cell r="E183">
            <v>20</v>
          </cell>
        </row>
        <row r="184">
          <cell r="A184" t="str">
            <v>電話番号</v>
          </cell>
          <cell r="B184" t="str">
            <v>CT投信会社</v>
          </cell>
          <cell r="C184" t="str">
            <v>CT投信会社</v>
          </cell>
          <cell r="D184" t="str">
            <v>varchar</v>
          </cell>
          <cell r="E184">
            <v>20</v>
          </cell>
        </row>
        <row r="185">
          <cell r="A185" t="str">
            <v>電話番号2</v>
          </cell>
          <cell r="B185" t="str">
            <v>CT受託銀行</v>
          </cell>
          <cell r="C185" t="str">
            <v>CT投信会社</v>
          </cell>
          <cell r="D185" t="str">
            <v>varchar</v>
          </cell>
          <cell r="E185">
            <v>20</v>
          </cell>
        </row>
        <row r="186">
          <cell r="A186" t="str">
            <v>都道府県コード</v>
          </cell>
          <cell r="B186" t="str">
            <v>CT市区町村</v>
          </cell>
          <cell r="C186" t="str">
            <v>CT投信会社</v>
          </cell>
          <cell r="D186" t="str">
            <v>varchar</v>
          </cell>
          <cell r="E186">
            <v>2</v>
          </cell>
        </row>
        <row r="187">
          <cell r="A187" t="str">
            <v>都道府県コード</v>
          </cell>
          <cell r="B187" t="str">
            <v>CT都道府県</v>
          </cell>
          <cell r="C187" t="str">
            <v>CT投信会社</v>
          </cell>
          <cell r="D187" t="str">
            <v>varchar</v>
          </cell>
          <cell r="E187">
            <v>4</v>
          </cell>
        </row>
        <row r="188">
          <cell r="A188" t="str">
            <v>都道府県コード</v>
          </cell>
          <cell r="B188" t="str">
            <v>CT支店</v>
          </cell>
          <cell r="C188" t="str">
            <v>CT投信会社</v>
          </cell>
          <cell r="D188" t="str">
            <v>varchar</v>
          </cell>
          <cell r="E188">
            <v>2</v>
          </cell>
        </row>
        <row r="189">
          <cell r="A189" t="str">
            <v>都道府県名</v>
          </cell>
          <cell r="B189" t="str">
            <v>CT都道府県</v>
          </cell>
          <cell r="C189" t="str">
            <v>CT投信会社</v>
          </cell>
          <cell r="D189" t="str">
            <v>varchar</v>
          </cell>
          <cell r="E189">
            <v>12</v>
          </cell>
        </row>
        <row r="190">
          <cell r="A190" t="str">
            <v>都道府県名</v>
          </cell>
          <cell r="B190" t="str">
            <v>CT郵便番号</v>
          </cell>
          <cell r="C190" t="str">
            <v>CT投信会社</v>
          </cell>
          <cell r="D190" t="str">
            <v>varchar</v>
          </cell>
          <cell r="E190">
            <v>12</v>
          </cell>
        </row>
        <row r="191">
          <cell r="A191" t="str">
            <v>投信会社コード</v>
          </cell>
          <cell r="B191" t="str">
            <v>CT投信会社</v>
          </cell>
          <cell r="C191" t="str">
            <v>CT投信会社</v>
          </cell>
          <cell r="D191" t="str">
            <v>varchar</v>
          </cell>
          <cell r="E191">
            <v>50</v>
          </cell>
        </row>
        <row r="192">
          <cell r="A192" t="str">
            <v>投信会社名</v>
          </cell>
          <cell r="B192" t="str">
            <v>CT投信会社</v>
          </cell>
          <cell r="C192" t="str">
            <v>CT投信会社</v>
          </cell>
          <cell r="D192" t="str">
            <v>varchar</v>
          </cell>
          <cell r="E192">
            <v>50</v>
          </cell>
        </row>
        <row r="193">
          <cell r="A193" t="str">
            <v>日</v>
          </cell>
          <cell r="B193" t="str">
            <v>CT休日_月日指定</v>
          </cell>
          <cell r="C193" t="str">
            <v>CT投信会社</v>
          </cell>
          <cell r="D193" t="str">
            <v>varchar</v>
          </cell>
          <cell r="E193">
            <v>255</v>
          </cell>
        </row>
        <row r="194">
          <cell r="A194" t="str">
            <v>入出金経路コード</v>
          </cell>
          <cell r="B194" t="str">
            <v>CT入出金経路</v>
          </cell>
          <cell r="C194" t="str">
            <v>CT投信会社</v>
          </cell>
          <cell r="D194" t="str">
            <v>varchar</v>
          </cell>
          <cell r="E194">
            <v>50</v>
          </cell>
        </row>
        <row r="195">
          <cell r="A195" t="str">
            <v>入出金経路コード</v>
          </cell>
          <cell r="B195" t="str">
            <v>CT受託銀行</v>
          </cell>
          <cell r="C195" t="str">
            <v>CT入出金経路</v>
          </cell>
          <cell r="D195" t="str">
            <v>varchar</v>
          </cell>
          <cell r="E195">
            <v>2</v>
          </cell>
        </row>
        <row r="196">
          <cell r="A196" t="str">
            <v>入出金経路コード</v>
          </cell>
          <cell r="B196" t="str">
            <v>CT投信会社</v>
          </cell>
          <cell r="C196" t="str">
            <v>CT入出金経路</v>
          </cell>
          <cell r="D196" t="str">
            <v>varchar</v>
          </cell>
          <cell r="E196">
            <v>2</v>
          </cell>
        </row>
        <row r="197">
          <cell r="A197" t="str">
            <v>認証印字出力区分</v>
          </cell>
          <cell r="B197" t="str">
            <v>CTユーザ会社名</v>
          </cell>
          <cell r="C197" t="str">
            <v>CT保有月数</v>
          </cell>
          <cell r="D197" t="str">
            <v>bit</v>
          </cell>
          <cell r="E197">
            <v>50</v>
          </cell>
        </row>
        <row r="198">
          <cell r="A198" t="str">
            <v>年月日</v>
          </cell>
          <cell r="B198" t="str">
            <v>CT休日_春分秋分</v>
          </cell>
          <cell r="C198" t="str">
            <v>CT保有月数</v>
          </cell>
          <cell r="D198" t="str">
            <v>int</v>
          </cell>
        </row>
        <row r="199">
          <cell r="A199" t="str">
            <v>番号桁数</v>
          </cell>
          <cell r="B199" t="str">
            <v>CT受託銀行</v>
          </cell>
          <cell r="C199" t="str">
            <v>CT法人区分</v>
          </cell>
          <cell r="D199" t="str">
            <v>int</v>
          </cell>
          <cell r="E199">
            <v>2</v>
          </cell>
        </row>
        <row r="200">
          <cell r="A200" t="str">
            <v>番号桁数2</v>
          </cell>
          <cell r="B200" t="str">
            <v>CT受託銀行</v>
          </cell>
          <cell r="C200" t="str">
            <v>CT法人区分</v>
          </cell>
          <cell r="D200" t="str">
            <v>int</v>
          </cell>
          <cell r="E200">
            <v>50</v>
          </cell>
        </row>
        <row r="201">
          <cell r="A201" t="str">
            <v>備考</v>
          </cell>
          <cell r="B201" t="str">
            <v>CT受託銀行</v>
          </cell>
          <cell r="C201" t="str">
            <v>CT法人区分</v>
          </cell>
          <cell r="D201" t="str">
            <v>varchar</v>
          </cell>
          <cell r="E201">
            <v>255</v>
          </cell>
        </row>
        <row r="202">
          <cell r="A202" t="str">
            <v>備考</v>
          </cell>
          <cell r="B202" t="str">
            <v>CT投信会社</v>
          </cell>
          <cell r="C202" t="str">
            <v>CT法人区分_分類</v>
          </cell>
          <cell r="D202" t="str">
            <v>varchar</v>
          </cell>
          <cell r="E202">
            <v>255</v>
          </cell>
        </row>
        <row r="203">
          <cell r="A203" t="str">
            <v>表示位置</v>
          </cell>
          <cell r="B203" t="str">
            <v>CT帳面文言</v>
          </cell>
          <cell r="C203" t="str">
            <v>CT法人区分_分類</v>
          </cell>
          <cell r="D203" t="str">
            <v>varchar</v>
          </cell>
          <cell r="E203">
            <v>50</v>
          </cell>
        </row>
        <row r="204">
          <cell r="A204" t="str">
            <v>分類</v>
          </cell>
          <cell r="B204" t="str">
            <v>CT法人区分_分類</v>
          </cell>
          <cell r="C204" t="str">
            <v>○</v>
          </cell>
          <cell r="D204" t="str">
            <v>varchar</v>
          </cell>
          <cell r="E204">
            <v>2</v>
          </cell>
        </row>
        <row r="205">
          <cell r="A205" t="str">
            <v>分類</v>
          </cell>
          <cell r="B205" t="str">
            <v>CT法人区分</v>
          </cell>
          <cell r="C205" t="str">
            <v>CT本人確認書類</v>
          </cell>
          <cell r="D205" t="str">
            <v>varchar</v>
          </cell>
          <cell r="E205">
            <v>2</v>
          </cell>
        </row>
        <row r="206">
          <cell r="A206" t="str">
            <v>文言</v>
          </cell>
          <cell r="B206" t="str">
            <v>CT帳面文言</v>
          </cell>
          <cell r="C206" t="str">
            <v>CT名義人区分</v>
          </cell>
          <cell r="D206" t="str">
            <v>varchar</v>
          </cell>
          <cell r="E206">
            <v>255</v>
          </cell>
        </row>
        <row r="207">
          <cell r="A207" t="str">
            <v>保有月数</v>
          </cell>
          <cell r="B207" t="str">
            <v>CT保有月数</v>
          </cell>
          <cell r="C207" t="str">
            <v>CT名義人区分</v>
          </cell>
          <cell r="D207" t="str">
            <v>int</v>
          </cell>
          <cell r="E207">
            <v>20</v>
          </cell>
        </row>
        <row r="208">
          <cell r="A208" t="str">
            <v>法人区分コード</v>
          </cell>
          <cell r="B208" t="str">
            <v>CT法人区分</v>
          </cell>
          <cell r="C208" t="str">
            <v>○</v>
          </cell>
          <cell r="D208" t="str">
            <v>varchar</v>
          </cell>
          <cell r="E208">
            <v>2</v>
          </cell>
        </row>
        <row r="209">
          <cell r="A209" t="str">
            <v>名義人区分コード</v>
          </cell>
          <cell r="B209" t="str">
            <v>CT名義人区分</v>
          </cell>
          <cell r="C209" t="str">
            <v>CT約定方法</v>
          </cell>
          <cell r="D209" t="str">
            <v>varchar</v>
          </cell>
          <cell r="E209">
            <v>12</v>
          </cell>
        </row>
        <row r="210">
          <cell r="A210" t="str">
            <v>約定方法コード</v>
          </cell>
          <cell r="B210" t="str">
            <v>CT約定方法</v>
          </cell>
          <cell r="C210" t="str">
            <v>○</v>
          </cell>
          <cell r="D210" t="str">
            <v>varchar</v>
          </cell>
          <cell r="E210">
            <v>2</v>
          </cell>
        </row>
        <row r="211">
          <cell r="A211" t="str">
            <v>有価証券取引税率</v>
          </cell>
          <cell r="B211" t="str">
            <v>CT有価証券取引税</v>
          </cell>
          <cell r="C211" t="str">
            <v>CT有価証券取引税</v>
          </cell>
          <cell r="D211" t="str">
            <v>money</v>
          </cell>
        </row>
        <row r="212">
          <cell r="A212" t="str">
            <v>郵便番号</v>
          </cell>
          <cell r="B212" t="str">
            <v>CT郵便番号</v>
          </cell>
          <cell r="C212" t="str">
            <v>CT有価証券取引税</v>
          </cell>
          <cell r="D212" t="str">
            <v>money</v>
          </cell>
          <cell r="E212">
            <v>8</v>
          </cell>
        </row>
        <row r="213">
          <cell r="A213" t="str">
            <v>郵便番号</v>
          </cell>
          <cell r="B213" t="str">
            <v>CT支店</v>
          </cell>
          <cell r="C213" t="str">
            <v>CT郵便番号</v>
          </cell>
          <cell r="D213" t="str">
            <v>varchar</v>
          </cell>
          <cell r="E213">
            <v>8</v>
          </cell>
        </row>
        <row r="214">
          <cell r="A214" t="str">
            <v>預り区分コード</v>
          </cell>
          <cell r="B214" t="str">
            <v>CT預り区分</v>
          </cell>
          <cell r="C214" t="str">
            <v>CT郵便番号</v>
          </cell>
          <cell r="D214" t="str">
            <v>varchar</v>
          </cell>
          <cell r="E214">
            <v>50</v>
          </cell>
        </row>
        <row r="215">
          <cell r="A215" t="str">
            <v>預り指定</v>
          </cell>
          <cell r="B215" t="str">
            <v>CT預り指定</v>
          </cell>
          <cell r="C215" t="str">
            <v>CT郵便番号</v>
          </cell>
          <cell r="D215" t="str">
            <v>varchar</v>
          </cell>
          <cell r="E215">
            <v>128</v>
          </cell>
        </row>
        <row r="216">
          <cell r="A216" t="str">
            <v>曜日</v>
          </cell>
          <cell r="B216" t="str">
            <v>CT休日_曜日指定</v>
          </cell>
          <cell r="C216" t="str">
            <v>CT郵便番号</v>
          </cell>
          <cell r="D216" t="str">
            <v>varchar</v>
          </cell>
          <cell r="E216">
            <v>12</v>
          </cell>
        </row>
        <row r="217">
          <cell r="A217" t="str">
            <v>用紙様式</v>
          </cell>
          <cell r="B217" t="str">
            <v>CT帳票名</v>
          </cell>
          <cell r="C217" t="str">
            <v>CT預り区分</v>
          </cell>
          <cell r="D217" t="str">
            <v>varchar</v>
          </cell>
          <cell r="E217">
            <v>20</v>
          </cell>
        </row>
        <row r="218">
          <cell r="A218" t="str">
            <v>連絡者</v>
          </cell>
          <cell r="B218" t="str">
            <v>CT受託銀行</v>
          </cell>
          <cell r="C218" t="str">
            <v>CT預り区分</v>
          </cell>
          <cell r="D218" t="str">
            <v>varchar</v>
          </cell>
          <cell r="E218">
            <v>50</v>
          </cell>
        </row>
        <row r="219">
          <cell r="A219" t="str">
            <v>連絡者</v>
          </cell>
          <cell r="B219" t="str">
            <v>CT投信会社</v>
          </cell>
          <cell r="C219" t="str">
            <v>CT預り指定</v>
          </cell>
          <cell r="D219" t="str">
            <v>varchar</v>
          </cell>
          <cell r="E219">
            <v>50</v>
          </cell>
        </row>
        <row r="220">
          <cell r="A220" t="str">
            <v>連絡者2</v>
          </cell>
          <cell r="B220" t="str">
            <v>CT受託銀行</v>
          </cell>
          <cell r="C220" t="str">
            <v>CT預り指定</v>
          </cell>
          <cell r="D220" t="str">
            <v>varchar</v>
          </cell>
          <cell r="E220">
            <v>50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  <sheetName val="ジョブ一覧"/>
      <sheetName val="ジョブ機能(共通）"/>
      <sheetName val="ジョブ機能 (個別)"/>
      <sheetName val="ﾌﾟﾛｸﾞﾗﾑ一覧"/>
      <sheetName val="ﾌﾟﾛｸﾞﾗﾑ一覧 (2)"/>
      <sheetName val="機能一覧(共通）"/>
      <sheetName val="機能一覧 (個別)"/>
      <sheetName val="ﾌｧｲﾙ一覧"/>
      <sheetName val="帳票一覧"/>
      <sheetName val="ﾃﾞｰﾀ項目一覧"/>
    </sheetNames>
    <sheetDataSet>
      <sheetData sheetId="0" refreshError="1">
        <row r="2">
          <cell r="B2" t="str">
            <v>共通（口振・振込）</v>
          </cell>
        </row>
        <row r="3">
          <cell r="B3" t="str">
            <v>共通（口振）</v>
          </cell>
        </row>
        <row r="4">
          <cell r="B4" t="str">
            <v>共通（振込）</v>
          </cell>
        </row>
        <row r="5">
          <cell r="B5" t="str">
            <v>個社別</v>
          </cell>
        </row>
        <row r="6">
          <cell r="B6" t="str">
            <v>廃止・未使用</v>
          </cell>
        </row>
        <row r="7">
          <cell r="B7" t="str">
            <v>九州電力</v>
          </cell>
        </row>
        <row r="8">
          <cell r="B8" t="str">
            <v>西鉄・九電工</v>
          </cell>
        </row>
        <row r="9">
          <cell r="B9" t="str">
            <v>ＭＴ編集</v>
          </cell>
        </row>
        <row r="10">
          <cell r="B10" t="str">
            <v>ＦＡＸ－ＯＣＲ</v>
          </cell>
        </row>
        <row r="11">
          <cell r="B11" t="str">
            <v>トヨタ自動車</v>
          </cell>
        </row>
        <row r="12">
          <cell r="B12" t="str">
            <v>九工大</v>
          </cell>
        </row>
        <row r="13">
          <cell r="B13" t="str">
            <v>福岡県</v>
          </cell>
        </row>
        <row r="14">
          <cell r="B14" t="str">
            <v>福岡市</v>
          </cell>
        </row>
        <row r="15">
          <cell r="B15" t="str">
            <v>北九州市</v>
          </cell>
        </row>
        <row r="16">
          <cell r="B16" t="str">
            <v>長崎大学</v>
          </cell>
        </row>
        <row r="17">
          <cell r="B17" t="str">
            <v>九州医療センター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変更履歴"/>
      <sheetName val="PT工程完了報告書"/>
      <sheetName val="ＰＴ障害状況"/>
      <sheetName val="製造仕様書変更履歴及び疎通推移"/>
      <sheetName val="PT品質集計シート（画面）"/>
      <sheetName val="PT品質集計シート（EJB)"/>
      <sheetName val="PT品質集計シート (業務共通部品)"/>
    </sheetNames>
    <sheetDataSet>
      <sheetData sheetId="0"/>
      <sheetData sheetId="1"/>
      <sheetData sheetId="2" refreshError="1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ーブル一覧"/>
      <sheetName val="Ｅ００１"/>
      <sheetName val="Ｅ００２"/>
      <sheetName val="Ｅ００３"/>
      <sheetName val="Ｅ００４"/>
      <sheetName val="Ｅ００５"/>
      <sheetName val="Ｅ００６"/>
      <sheetName val="参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6">
          <cell r="C6" t="str">
            <v>００１</v>
          </cell>
          <cell r="D6" t="str">
            <v>融資統合ＤＢ</v>
          </cell>
        </row>
        <row r="7">
          <cell r="C7" t="str">
            <v>００２</v>
          </cell>
          <cell r="D7" t="str">
            <v>ＤＷＨ</v>
          </cell>
        </row>
        <row r="8">
          <cell r="C8" t="str">
            <v>９９９</v>
          </cell>
          <cell r="D8" t="str">
            <v>その他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表紙"/>
      <sheetName val="一覧"/>
      <sheetName val="遷移図 "/>
    </sheetNames>
    <sheetDataSet>
      <sheetData sheetId="0" refreshError="1"/>
      <sheetData sheetId="1" refreshError="1">
        <row r="1">
          <cell r="A1" t="str">
            <v>共通全銀標準</v>
          </cell>
        </row>
        <row r="2">
          <cell r="A2" t="str">
            <v>共通個社別</v>
          </cell>
        </row>
        <row r="3">
          <cell r="A3" t="str">
            <v>福銀個社別</v>
          </cell>
        </row>
        <row r="4">
          <cell r="A4" t="str">
            <v>広銀個社別</v>
          </cell>
        </row>
      </sheetData>
      <sheetData sheetId="2" refreshError="1"/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  <sheetName val="ジョブ一覧"/>
      <sheetName val="ジョブ機能(共通）"/>
      <sheetName val="ジョブ機能 (個別)"/>
      <sheetName val="ﾌﾟﾛｸﾞﾗﾑ一覧"/>
      <sheetName val="ﾌﾟﾛｸﾞﾗﾑ一覧 (2)"/>
      <sheetName val="機能一覧(共通）"/>
      <sheetName val="機能一覧 (個別)"/>
      <sheetName val="ﾌｧｲﾙ一覧"/>
      <sheetName val="帳票一覧"/>
      <sheetName val="ﾃﾞｰﾀ項目一覧"/>
    </sheetNames>
    <sheetDataSet>
      <sheetData sheetId="0" refreshError="1">
        <row r="2">
          <cell r="B2" t="str">
            <v>共通（口振・振込）</v>
          </cell>
        </row>
        <row r="3">
          <cell r="B3" t="str">
            <v>共通（口振）</v>
          </cell>
        </row>
        <row r="4">
          <cell r="B4" t="str">
            <v>共通（振込）</v>
          </cell>
        </row>
        <row r="5">
          <cell r="B5" t="str">
            <v>個社別</v>
          </cell>
        </row>
        <row r="6">
          <cell r="B6" t="str">
            <v>廃止・未使用</v>
          </cell>
        </row>
        <row r="7">
          <cell r="B7" t="str">
            <v>九州電力</v>
          </cell>
        </row>
        <row r="8">
          <cell r="B8" t="str">
            <v>西鉄・九電工</v>
          </cell>
        </row>
        <row r="9">
          <cell r="B9" t="str">
            <v>ＭＴ編集</v>
          </cell>
        </row>
        <row r="10">
          <cell r="B10" t="str">
            <v>ＦＡＸ－ＯＣＲ</v>
          </cell>
        </row>
        <row r="11">
          <cell r="B11" t="str">
            <v>トヨタ自動車</v>
          </cell>
        </row>
        <row r="12">
          <cell r="B12" t="str">
            <v>九工大</v>
          </cell>
        </row>
        <row r="13">
          <cell r="B13" t="str">
            <v>福岡県</v>
          </cell>
        </row>
        <row r="14">
          <cell r="B14" t="str">
            <v>福岡市</v>
          </cell>
        </row>
        <row r="15">
          <cell r="B15" t="str">
            <v>北九州市</v>
          </cell>
        </row>
        <row r="16">
          <cell r="B16" t="str">
            <v>長崎大学</v>
          </cell>
        </row>
        <row r="17">
          <cell r="B17" t="str">
            <v>九州医療センター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ーブル一覧"/>
      <sheetName val="Ｅ００１"/>
      <sheetName val="Ｅ００２"/>
      <sheetName val="Ｅ００３"/>
      <sheetName val="Ｅ００４"/>
      <sheetName val="Ｅ００５"/>
      <sheetName val="Ｅ００６"/>
      <sheetName val="参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6">
          <cell r="C6" t="str">
            <v>００１</v>
          </cell>
        </row>
        <row r="27">
          <cell r="C27" t="str">
            <v>CHAR</v>
          </cell>
        </row>
        <row r="28">
          <cell r="C28" t="str">
            <v>ＶＡＲＣＨＡＲ</v>
          </cell>
        </row>
        <row r="29">
          <cell r="C29" t="str">
            <v>ＧＲＡＰＨＩＣ</v>
          </cell>
        </row>
        <row r="30">
          <cell r="C30" t="str">
            <v>ＳＭＡＬＬＩＮＴ</v>
          </cell>
        </row>
        <row r="31">
          <cell r="C31" t="str">
            <v>ＩＮＴＥＧＥＲ</v>
          </cell>
        </row>
        <row r="32">
          <cell r="C32" t="str">
            <v>DEＣＩＭＡＬ</v>
          </cell>
        </row>
        <row r="33">
          <cell r="C33" t="str">
            <v>ＤＡＴＥ</v>
          </cell>
        </row>
        <row r="34">
          <cell r="C34" t="str">
            <v>ＴＩＭＥ</v>
          </cell>
        </row>
        <row r="35">
          <cell r="C35" t="str">
            <v>ＴＩＭＥＳＴＡＭＰ</v>
          </cell>
        </row>
        <row r="36">
          <cell r="C36" t="str">
            <v>ＣＬＯＢ</v>
          </cell>
        </row>
        <row r="37">
          <cell r="C37" t="str">
            <v>ＤＢＣＬＯＢ</v>
          </cell>
        </row>
        <row r="38">
          <cell r="C38" t="str">
            <v>ＢＬＯＢ</v>
          </cell>
        </row>
        <row r="39">
          <cell r="C39" t="str">
            <v>ＤＡＴＡＬＩＮＫ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変更履歴"/>
      <sheetName val="ファイル提供形式"/>
    </sheetNames>
    <sheetDataSet>
      <sheetData sheetId="0"/>
      <sheetData sheetId="1">
        <row r="7">
          <cell r="A7">
            <v>1</v>
          </cell>
          <cell r="C7">
            <v>41729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0198B-9301-408F-A188-225500D21979}">
  <sheetPr codeName="Sheet1"/>
  <dimension ref="A1:G49"/>
  <sheetViews>
    <sheetView tabSelected="1" workbookViewId="0"/>
  </sheetViews>
  <sheetFormatPr defaultRowHeight="13.5" x14ac:dyDescent="0.15"/>
  <sheetData>
    <row r="1" spans="1:7" x14ac:dyDescent="0.15">
      <c r="B1" t="s">
        <v>89</v>
      </c>
      <c r="E1" t="s">
        <v>93</v>
      </c>
    </row>
    <row r="2" spans="1:7" x14ac:dyDescent="0.15">
      <c r="B2" t="s">
        <v>90</v>
      </c>
      <c r="C2" t="s">
        <v>91</v>
      </c>
      <c r="D2" t="s">
        <v>92</v>
      </c>
      <c r="E2" t="s">
        <v>90</v>
      </c>
      <c r="F2" t="s">
        <v>91</v>
      </c>
      <c r="G2" t="s">
        <v>92</v>
      </c>
    </row>
    <row r="3" spans="1:7" x14ac:dyDescent="0.15">
      <c r="A3" t="s">
        <v>15</v>
      </c>
      <c r="B3">
        <v>0.38201685304387306</v>
      </c>
      <c r="C3">
        <v>0.22190704114070334</v>
      </c>
      <c r="D3">
        <v>0.30073317022265084</v>
      </c>
      <c r="E3">
        <v>0.22614622037098517</v>
      </c>
      <c r="F3">
        <v>0.1598267360975727</v>
      </c>
      <c r="G3">
        <v>0.19247750350429341</v>
      </c>
    </row>
    <row r="4" spans="1:7" x14ac:dyDescent="0.15">
      <c r="A4" t="s">
        <v>21</v>
      </c>
      <c r="B4">
        <v>0.37169246203280526</v>
      </c>
      <c r="C4">
        <v>0.25239407534610048</v>
      </c>
      <c r="D4">
        <v>0.31112770270131512</v>
      </c>
      <c r="E4">
        <v>0.20406029578940021</v>
      </c>
      <c r="F4">
        <v>0.14415833581405857</v>
      </c>
      <c r="G4">
        <v>0.17364959292785484</v>
      </c>
    </row>
    <row r="5" spans="1:7" x14ac:dyDescent="0.15">
      <c r="A5" t="s">
        <v>22</v>
      </c>
      <c r="B5">
        <v>0.37119847365572806</v>
      </c>
      <c r="C5">
        <v>0.25028259246431539</v>
      </c>
      <c r="D5">
        <v>0.30981255346767994</v>
      </c>
      <c r="E5">
        <v>0.22336395246620472</v>
      </c>
      <c r="F5">
        <v>0.16704333355630638</v>
      </c>
      <c r="G5">
        <v>0.19477140545518376</v>
      </c>
    </row>
    <row r="6" spans="1:7" x14ac:dyDescent="0.15">
      <c r="A6" t="s">
        <v>23</v>
      </c>
      <c r="B6">
        <v>0.36985719230773273</v>
      </c>
      <c r="C6">
        <v>0.23241618196561412</v>
      </c>
      <c r="D6">
        <v>0.30008188398350927</v>
      </c>
      <c r="E6">
        <v>0.21536821352931679</v>
      </c>
      <c r="F6">
        <v>0.15475180111279602</v>
      </c>
      <c r="G6">
        <v>0.18459480131892292</v>
      </c>
    </row>
    <row r="7" spans="1:7" x14ac:dyDescent="0.15">
      <c r="A7" t="s">
        <v>24</v>
      </c>
      <c r="B7">
        <v>0.36378254337030769</v>
      </c>
      <c r="C7">
        <v>0.24559639705715441</v>
      </c>
      <c r="D7">
        <v>0.30378244021241535</v>
      </c>
      <c r="E7">
        <v>0.25508195449885995</v>
      </c>
      <c r="F7">
        <v>0.17956668554936192</v>
      </c>
      <c r="G7">
        <v>0.21674477143376156</v>
      </c>
    </row>
    <row r="8" spans="1:7" x14ac:dyDescent="0.15">
      <c r="A8" t="s">
        <v>25</v>
      </c>
      <c r="B8">
        <v>0.34241150053261993</v>
      </c>
      <c r="C8">
        <v>0.23292644893587369</v>
      </c>
      <c r="D8">
        <v>0.28682872205157867</v>
      </c>
      <c r="E8">
        <v>0.23146231378605489</v>
      </c>
      <c r="F8">
        <v>0.16632793507540389</v>
      </c>
      <c r="G8">
        <v>0.19839524489788571</v>
      </c>
    </row>
    <row r="9" spans="1:7" x14ac:dyDescent="0.15">
      <c r="A9" t="s">
        <v>26</v>
      </c>
      <c r="B9">
        <v>0.37090535690100906</v>
      </c>
      <c r="C9">
        <v>0.25242195521791005</v>
      </c>
      <c r="D9">
        <v>0.31075434474559582</v>
      </c>
      <c r="E9">
        <v>0.2111056907432739</v>
      </c>
      <c r="F9">
        <v>0.15651386474543813</v>
      </c>
      <c r="G9">
        <v>0.18339080796192955</v>
      </c>
    </row>
    <row r="10" spans="1:7" x14ac:dyDescent="0.15">
      <c r="A10" t="s">
        <v>27</v>
      </c>
      <c r="B10">
        <v>0.35595515971630948</v>
      </c>
      <c r="C10">
        <v>0.22537243727009504</v>
      </c>
      <c r="D10">
        <v>0.2896616298752463</v>
      </c>
      <c r="E10">
        <v>0.19993345204503291</v>
      </c>
      <c r="F10">
        <v>0.14784201109458409</v>
      </c>
      <c r="G10">
        <v>0.17348795121290755</v>
      </c>
    </row>
    <row r="11" spans="1:7" x14ac:dyDescent="0.15">
      <c r="A11" t="s">
        <v>28</v>
      </c>
      <c r="B11">
        <v>0.34679087596125829</v>
      </c>
      <c r="C11">
        <v>0.22621807004613842</v>
      </c>
      <c r="D11">
        <v>0.28557912637281618</v>
      </c>
      <c r="E11">
        <v>0.2194920885551587</v>
      </c>
      <c r="F11">
        <v>0.16211504920127695</v>
      </c>
      <c r="G11">
        <v>0.19036322373029549</v>
      </c>
    </row>
    <row r="12" spans="1:7" x14ac:dyDescent="0.15">
      <c r="A12" t="s">
        <v>29</v>
      </c>
      <c r="B12">
        <v>0.33057945356871099</v>
      </c>
      <c r="C12">
        <v>0.21348407961641475</v>
      </c>
      <c r="D12">
        <v>0.2711331078199129</v>
      </c>
      <c r="E12">
        <v>0.21993247554934736</v>
      </c>
      <c r="F12">
        <v>0.16871387703330298</v>
      </c>
      <c r="G12">
        <v>0.19393009464065272</v>
      </c>
    </row>
    <row r="13" spans="1:7" x14ac:dyDescent="0.15">
      <c r="A13" t="s">
        <v>30</v>
      </c>
      <c r="B13">
        <v>0.33929334013472401</v>
      </c>
      <c r="C13">
        <v>0.20492970477986119</v>
      </c>
      <c r="D13">
        <v>0.27108033688982536</v>
      </c>
      <c r="E13">
        <v>0.20766591417575472</v>
      </c>
      <c r="F13">
        <v>0.15641634662175233</v>
      </c>
      <c r="G13">
        <v>0.18164781107346842</v>
      </c>
    </row>
    <row r="14" spans="1:7" x14ac:dyDescent="0.15">
      <c r="A14" t="s">
        <v>31</v>
      </c>
      <c r="B14">
        <v>0.35157288482843263</v>
      </c>
      <c r="C14">
        <v>0.20523216017136819</v>
      </c>
      <c r="D14">
        <v>0.2772794177044659</v>
      </c>
      <c r="E14">
        <v>0.1946741040155289</v>
      </c>
      <c r="F14">
        <v>0.14886993103569568</v>
      </c>
      <c r="G14">
        <v>0.17142048936115148</v>
      </c>
    </row>
    <row r="15" spans="1:7" x14ac:dyDescent="0.15">
      <c r="A15" t="s">
        <v>32</v>
      </c>
      <c r="B15">
        <v>0.33319738370852664</v>
      </c>
      <c r="C15">
        <v>0.18237893241414738</v>
      </c>
      <c r="D15">
        <v>0.25663068855798676</v>
      </c>
      <c r="E15">
        <v>0.1814706284823569</v>
      </c>
      <c r="F15">
        <v>0.12936182752353756</v>
      </c>
      <c r="G15">
        <v>0.15501631441513128</v>
      </c>
    </row>
    <row r="16" spans="1:7" x14ac:dyDescent="0.15">
      <c r="A16" t="s">
        <v>33</v>
      </c>
      <c r="B16">
        <v>0.33020547016647728</v>
      </c>
      <c r="C16">
        <v>0.18161445508808396</v>
      </c>
      <c r="D16">
        <v>0.2547695877795812</v>
      </c>
      <c r="E16">
        <v>0.18297038794045242</v>
      </c>
      <c r="F16">
        <v>0.13354879595384134</v>
      </c>
      <c r="G16">
        <v>0.15788030158154126</v>
      </c>
    </row>
    <row r="17" spans="1:7" x14ac:dyDescent="0.15">
      <c r="A17" t="s">
        <v>34</v>
      </c>
      <c r="B17">
        <v>0.30239489323011298</v>
      </c>
      <c r="C17">
        <v>0.1914347228336217</v>
      </c>
      <c r="D17">
        <v>0.24606323441989725</v>
      </c>
      <c r="E17">
        <v>0.20368689764548506</v>
      </c>
      <c r="F17">
        <v>0.13885054848602157</v>
      </c>
      <c r="G17">
        <v>0.17077113078697989</v>
      </c>
    </row>
    <row r="18" spans="1:7" x14ac:dyDescent="0.15">
      <c r="A18" t="s">
        <v>35</v>
      </c>
      <c r="B18">
        <v>0.32833230693868948</v>
      </c>
      <c r="C18">
        <v>0.19420654332478537</v>
      </c>
      <c r="D18">
        <v>0.26024006513192127</v>
      </c>
      <c r="E18">
        <v>0.19780901517952321</v>
      </c>
      <c r="F18">
        <v>0.14540243534844902</v>
      </c>
      <c r="G18">
        <v>0.17120352634595742</v>
      </c>
    </row>
    <row r="19" spans="1:7" x14ac:dyDescent="0.15">
      <c r="A19" t="s">
        <v>36</v>
      </c>
      <c r="B19">
        <v>0.3242677292031047</v>
      </c>
      <c r="C19">
        <v>0.19214740913681222</v>
      </c>
      <c r="D19">
        <v>0.25719360012348474</v>
      </c>
      <c r="E19">
        <v>0.21305325339261696</v>
      </c>
      <c r="F19">
        <v>0.15138693862378858</v>
      </c>
      <c r="G19">
        <v>0.18174683243788806</v>
      </c>
    </row>
    <row r="20" spans="1:7" x14ac:dyDescent="0.15">
      <c r="A20" t="s">
        <v>37</v>
      </c>
      <c r="B20">
        <v>0.32529616341541862</v>
      </c>
      <c r="C20">
        <v>0.19276177622677515</v>
      </c>
      <c r="D20">
        <v>0.25801182297998104</v>
      </c>
      <c r="E20">
        <v>0.22560161513578086</v>
      </c>
      <c r="F20">
        <v>0.16287256278787332</v>
      </c>
      <c r="G20">
        <v>0.1937556693182515</v>
      </c>
    </row>
    <row r="21" spans="1:7" x14ac:dyDescent="0.15">
      <c r="A21" t="s">
        <v>38</v>
      </c>
      <c r="B21">
        <v>0.31060766675080198</v>
      </c>
      <c r="C21">
        <v>0.18661037595353239</v>
      </c>
      <c r="D21">
        <v>0.24765739321009222</v>
      </c>
      <c r="E21">
        <v>0.22564783550169831</v>
      </c>
      <c r="F21">
        <v>0.15855083724867661</v>
      </c>
      <c r="G21">
        <v>0.19158439454560566</v>
      </c>
    </row>
    <row r="22" spans="1:7" x14ac:dyDescent="0.15">
      <c r="A22" t="s">
        <v>39</v>
      </c>
      <c r="B22">
        <v>0.3093669406095817</v>
      </c>
      <c r="C22">
        <v>0.18679915184251422</v>
      </c>
      <c r="D22">
        <v>0.24714238892335463</v>
      </c>
      <c r="E22">
        <v>0.19301734704841528</v>
      </c>
      <c r="F22">
        <v>0.13855869003768312</v>
      </c>
      <c r="G22">
        <v>0.16537007077775687</v>
      </c>
    </row>
    <row r="23" spans="1:7" x14ac:dyDescent="0.15">
      <c r="A23" t="s">
        <v>40</v>
      </c>
      <c r="B23">
        <v>0.30604306778648943</v>
      </c>
      <c r="C23">
        <v>0.18117686474232331</v>
      </c>
      <c r="D23">
        <v>0.2426516695786736</v>
      </c>
      <c r="E23">
        <v>0.20408372561177354</v>
      </c>
      <c r="F23">
        <v>0.14990394906959342</v>
      </c>
      <c r="G23">
        <v>0.17657802986813825</v>
      </c>
    </row>
    <row r="24" spans="1:7" x14ac:dyDescent="0.15">
      <c r="A24" t="s">
        <v>41</v>
      </c>
      <c r="B24">
        <v>0.30957272379867051</v>
      </c>
      <c r="C24">
        <v>0.18540216701141948</v>
      </c>
      <c r="D24">
        <v>0.24653448751785165</v>
      </c>
      <c r="E24">
        <v>0.18243302067596642</v>
      </c>
      <c r="F24">
        <v>0.13592851119196742</v>
      </c>
      <c r="G24">
        <v>0.15882386297525053</v>
      </c>
    </row>
    <row r="25" spans="1:7" x14ac:dyDescent="0.15">
      <c r="A25" t="s">
        <v>42</v>
      </c>
      <c r="B25">
        <v>0.32151977939488113</v>
      </c>
      <c r="C25">
        <v>0.1913748210852079</v>
      </c>
      <c r="D25">
        <v>0.25544849128155572</v>
      </c>
      <c r="E25">
        <v>0.20814596652175821</v>
      </c>
      <c r="F25">
        <v>0.16088656849467278</v>
      </c>
      <c r="G25">
        <v>0.18415357109081049</v>
      </c>
    </row>
    <row r="26" spans="1:7" x14ac:dyDescent="0.15">
      <c r="A26" t="s">
        <v>43</v>
      </c>
      <c r="B26">
        <v>0.32695581184898143</v>
      </c>
      <c r="C26">
        <v>0.19708130361576129</v>
      </c>
      <c r="D26">
        <v>0.26102182436684207</v>
      </c>
      <c r="E26">
        <v>0.20273787904465096</v>
      </c>
      <c r="F26">
        <v>0.15914407364453659</v>
      </c>
      <c r="G26">
        <v>0.18060641184102963</v>
      </c>
    </row>
    <row r="27" spans="1:7" x14ac:dyDescent="0.15">
      <c r="A27" t="s">
        <v>44</v>
      </c>
      <c r="B27">
        <v>0.31286172925526157</v>
      </c>
      <c r="C27">
        <v>0.18432356912289677</v>
      </c>
      <c r="D27">
        <v>0.24760617174488658</v>
      </c>
      <c r="E27">
        <v>0.20018437635649125</v>
      </c>
      <c r="F27">
        <v>0.15894375793926874</v>
      </c>
      <c r="G27">
        <v>0.17924756238531575</v>
      </c>
    </row>
    <row r="28" spans="1:7" x14ac:dyDescent="0.15">
      <c r="A28" t="s">
        <v>45</v>
      </c>
      <c r="B28">
        <v>0.30532627205926632</v>
      </c>
      <c r="C28">
        <v>0.16844888073288958</v>
      </c>
      <c r="D28">
        <v>0.23583709878674899</v>
      </c>
      <c r="E28">
        <v>0.20112788468127002</v>
      </c>
      <c r="F28">
        <v>0.14513050025821089</v>
      </c>
      <c r="G28">
        <v>0.17269943560524015</v>
      </c>
    </row>
    <row r="29" spans="1:7" x14ac:dyDescent="0.15">
      <c r="A29" t="s">
        <v>46</v>
      </c>
      <c r="B29">
        <v>0.33126475503416558</v>
      </c>
      <c r="C29">
        <v>0.18637337319307812</v>
      </c>
      <c r="D29">
        <v>0.2577070824274289</v>
      </c>
      <c r="E29">
        <v>0.20640061391028028</v>
      </c>
      <c r="F29">
        <v>0.15156215234541717</v>
      </c>
      <c r="G29">
        <v>0.1785605205190153</v>
      </c>
    </row>
    <row r="30" spans="1:7" x14ac:dyDescent="0.15">
      <c r="A30" t="s">
        <v>47</v>
      </c>
      <c r="B30">
        <v>0.32117344474817333</v>
      </c>
      <c r="C30">
        <v>0.17417822165228936</v>
      </c>
      <c r="D30">
        <v>0.24654770539881565</v>
      </c>
      <c r="E30">
        <v>0.20319861063038736</v>
      </c>
      <c r="F30">
        <v>0.14348512282487902</v>
      </c>
      <c r="G30">
        <v>0.17288359030004513</v>
      </c>
    </row>
    <row r="31" spans="1:7" x14ac:dyDescent="0.15">
      <c r="A31" t="s">
        <v>48</v>
      </c>
      <c r="B31">
        <v>0.3307175452677259</v>
      </c>
      <c r="C31">
        <v>0.17845476665443125</v>
      </c>
      <c r="D31">
        <v>0.25341760184036122</v>
      </c>
      <c r="E31">
        <v>0.19876791442632263</v>
      </c>
      <c r="F31">
        <v>0.14440798028526966</v>
      </c>
      <c r="G31">
        <v>0.1711707572478724</v>
      </c>
    </row>
    <row r="32" spans="1:7" x14ac:dyDescent="0.15">
      <c r="A32" t="s">
        <v>49</v>
      </c>
      <c r="B32">
        <v>0.33543632191838413</v>
      </c>
      <c r="C32">
        <v>0.18993882038704687</v>
      </c>
      <c r="D32">
        <v>0.26157093774751322</v>
      </c>
      <c r="E32">
        <v>0.25710437475445297</v>
      </c>
      <c r="F32">
        <v>0.18212709973960356</v>
      </c>
      <c r="G32">
        <v>0.21904031753856967</v>
      </c>
    </row>
    <row r="33" spans="1:7" x14ac:dyDescent="0.15">
      <c r="A33" t="s">
        <v>50</v>
      </c>
      <c r="B33">
        <v>0.30234363866419139</v>
      </c>
      <c r="C33">
        <v>0.19189444351110602</v>
      </c>
      <c r="D33">
        <v>0.24627138900024101</v>
      </c>
      <c r="E33">
        <v>0.25070318889038434</v>
      </c>
      <c r="F33">
        <v>0.18999462294871769</v>
      </c>
      <c r="G33">
        <v>0.21988299267706285</v>
      </c>
    </row>
    <row r="34" spans="1:7" x14ac:dyDescent="0.15">
      <c r="A34" t="s">
        <v>51</v>
      </c>
      <c r="B34">
        <v>0.30068426436583151</v>
      </c>
      <c r="C34">
        <v>0.18453706621798521</v>
      </c>
      <c r="D34">
        <v>0.24171928337807808</v>
      </c>
      <c r="E34">
        <v>0.22683651208586297</v>
      </c>
      <c r="F34">
        <v>0.16482804491029815</v>
      </c>
      <c r="G34">
        <v>0.19535638904894997</v>
      </c>
    </row>
    <row r="35" spans="1:7" x14ac:dyDescent="0.15">
      <c r="A35" t="s">
        <v>52</v>
      </c>
      <c r="B35">
        <v>0.32712875967735822</v>
      </c>
      <c r="C35">
        <v>0.20767499279078588</v>
      </c>
      <c r="D35">
        <v>0.26648511776688927</v>
      </c>
      <c r="E35">
        <v>0.22569150204561547</v>
      </c>
      <c r="F35">
        <v>0.17496534638589992</v>
      </c>
      <c r="G35">
        <v>0.1999391218612088</v>
      </c>
    </row>
    <row r="36" spans="1:7" x14ac:dyDescent="0.15">
      <c r="A36" t="s">
        <v>53</v>
      </c>
      <c r="B36">
        <v>0.331230432025856</v>
      </c>
      <c r="C36">
        <v>0.1994935749813061</v>
      </c>
      <c r="D36">
        <v>0.26435097737788077</v>
      </c>
      <c r="E36">
        <v>0.20561431805511182</v>
      </c>
      <c r="F36">
        <v>0.15135101494318837</v>
      </c>
      <c r="G36">
        <v>0.17806621799458011</v>
      </c>
    </row>
    <row r="37" spans="1:7" x14ac:dyDescent="0.15">
      <c r="A37" t="s">
        <v>54</v>
      </c>
      <c r="B37">
        <v>0.30988338314355057</v>
      </c>
      <c r="C37">
        <v>0.18522097923930009</v>
      </c>
      <c r="D37">
        <v>0.24659544858016244</v>
      </c>
      <c r="E37">
        <v>0.22364965730515457</v>
      </c>
      <c r="F37">
        <v>0.16847154802717773</v>
      </c>
      <c r="G37">
        <v>0.19563713340100894</v>
      </c>
    </row>
    <row r="38" spans="1:7" x14ac:dyDescent="0.15">
      <c r="A38" t="s">
        <v>55</v>
      </c>
      <c r="B38">
        <v>0.36770299180614513</v>
      </c>
      <c r="C38">
        <v>0.22852746817244296</v>
      </c>
      <c r="D38">
        <v>0.29704711516092741</v>
      </c>
      <c r="E38">
        <v>0.2179783769784305</v>
      </c>
      <c r="F38">
        <v>0.16723131535337318</v>
      </c>
      <c r="G38">
        <v>0.19221538336667848</v>
      </c>
    </row>
    <row r="39" spans="1:7" x14ac:dyDescent="0.15">
      <c r="A39" t="s">
        <v>56</v>
      </c>
      <c r="B39">
        <v>0.35300211996008435</v>
      </c>
      <c r="C39">
        <v>0.21824635051459829</v>
      </c>
      <c r="D39">
        <v>0.2845900402022179</v>
      </c>
      <c r="E39">
        <v>0.20712581459060844</v>
      </c>
      <c r="F39">
        <v>0.15899804215653987</v>
      </c>
      <c r="G39">
        <v>0.1826925675402111</v>
      </c>
    </row>
    <row r="40" spans="1:7" x14ac:dyDescent="0.15">
      <c r="A40" t="s">
        <v>57</v>
      </c>
      <c r="B40">
        <v>0.35641240080782349</v>
      </c>
      <c r="C40">
        <v>0.21506579962221456</v>
      </c>
      <c r="D40">
        <v>0.28465432326053874</v>
      </c>
      <c r="E40">
        <v>0.24806038950628245</v>
      </c>
      <c r="F40">
        <v>0.18399157001793318</v>
      </c>
      <c r="G40">
        <v>0.21553427795747468</v>
      </c>
    </row>
    <row r="41" spans="1:7" x14ac:dyDescent="0.15">
      <c r="A41" t="s">
        <v>58</v>
      </c>
      <c r="B41">
        <v>0.35298861415275357</v>
      </c>
      <c r="C41">
        <v>0.22667841402005426</v>
      </c>
      <c r="D41">
        <v>0.28886413531768612</v>
      </c>
      <c r="E41">
        <v>0.22941131078937385</v>
      </c>
      <c r="F41">
        <v>0.16485434336527463</v>
      </c>
      <c r="G41">
        <v>0.19663737893831423</v>
      </c>
    </row>
    <row r="42" spans="1:7" x14ac:dyDescent="0.15">
      <c r="A42" t="s">
        <v>59</v>
      </c>
      <c r="B42">
        <v>0.33351035763200448</v>
      </c>
      <c r="C42">
        <v>0.19037625706402295</v>
      </c>
      <c r="D42">
        <v>0.26084481207190507</v>
      </c>
      <c r="E42">
        <v>0.21160528860990632</v>
      </c>
      <c r="F42">
        <v>0.15208441767147707</v>
      </c>
      <c r="G42">
        <v>0.18138805496823465</v>
      </c>
    </row>
    <row r="43" spans="1:7" x14ac:dyDescent="0.15">
      <c r="A43" t="s">
        <v>60</v>
      </c>
      <c r="B43">
        <v>0.32916832806487611</v>
      </c>
      <c r="C43">
        <v>0.20968763572837323</v>
      </c>
      <c r="D43">
        <v>0.26851101678770212</v>
      </c>
      <c r="E43">
        <v>0.18238275825042519</v>
      </c>
      <c r="F43">
        <v>0.13003256347387251</v>
      </c>
      <c r="G43">
        <v>0.15580589467619305</v>
      </c>
    </row>
    <row r="44" spans="1:7" x14ac:dyDescent="0.15">
      <c r="A44" t="s">
        <v>61</v>
      </c>
      <c r="B44">
        <v>0.34652699510703916</v>
      </c>
      <c r="C44">
        <v>0.21761252219364971</v>
      </c>
      <c r="D44">
        <v>0.28108039316053135</v>
      </c>
      <c r="E44">
        <v>0.24118415085702399</v>
      </c>
      <c r="F44">
        <v>0.17467859711298753</v>
      </c>
      <c r="G44">
        <v>0.20742097124846065</v>
      </c>
    </row>
    <row r="45" spans="1:7" x14ac:dyDescent="0.15">
      <c r="A45" t="s">
        <v>62</v>
      </c>
      <c r="B45">
        <v>0.35122618499996916</v>
      </c>
      <c r="C45">
        <v>0.21571837758460699</v>
      </c>
      <c r="D45">
        <v>0.2824323146754516</v>
      </c>
      <c r="E45">
        <v>0.21050763456260488</v>
      </c>
      <c r="F45">
        <v>0.15364763919869254</v>
      </c>
      <c r="G45">
        <v>0.18164125983241936</v>
      </c>
    </row>
    <row r="46" spans="1:7" x14ac:dyDescent="0.15">
      <c r="A46" t="s">
        <v>63</v>
      </c>
      <c r="B46">
        <v>0.35666269034886194</v>
      </c>
      <c r="C46">
        <v>0.22178732101620505</v>
      </c>
      <c r="D46">
        <v>0.28818989276752988</v>
      </c>
      <c r="E46">
        <v>0.20653867986620927</v>
      </c>
      <c r="F46">
        <v>0.15181759641242509</v>
      </c>
      <c r="G46">
        <v>0.17875817635914737</v>
      </c>
    </row>
    <row r="47" spans="1:7" x14ac:dyDescent="0.15">
      <c r="A47" t="s">
        <v>64</v>
      </c>
      <c r="B47">
        <v>0.35091769598533501</v>
      </c>
      <c r="C47">
        <v>0.2287508782341435</v>
      </c>
      <c r="D47">
        <v>0.28889670709446413</v>
      </c>
      <c r="E47">
        <v>0.21434276950488121</v>
      </c>
      <c r="F47">
        <v>0.15674399485185792</v>
      </c>
      <c r="G47">
        <v>0.18510133530334172</v>
      </c>
    </row>
    <row r="48" spans="1:7" x14ac:dyDescent="0.15">
      <c r="A48" t="s">
        <v>65</v>
      </c>
      <c r="B48">
        <v>0.36299613462694674</v>
      </c>
      <c r="C48">
        <v>0.23746988884261336</v>
      </c>
      <c r="D48">
        <v>0.29926964949283646</v>
      </c>
      <c r="E48">
        <v>0.21623183321411449</v>
      </c>
      <c r="F48">
        <v>0.15249417185343311</v>
      </c>
      <c r="G48">
        <v>0.18387384223139239</v>
      </c>
    </row>
    <row r="49" spans="1:7" x14ac:dyDescent="0.15">
      <c r="A49" t="s">
        <v>66</v>
      </c>
      <c r="B49">
        <v>0.46220032200309435</v>
      </c>
      <c r="C49">
        <v>0.3123595888239929</v>
      </c>
      <c r="D49">
        <v>0.3861299894940825</v>
      </c>
      <c r="E49">
        <v>0.20822147781517153</v>
      </c>
      <c r="F49">
        <v>0.16130676623758633</v>
      </c>
      <c r="G49">
        <v>0.18440407093552441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28094-521B-418D-B28F-9EE36D1DBF15}">
  <sheetPr codeName="Sheet3"/>
  <dimension ref="B1:R3"/>
  <sheetViews>
    <sheetView workbookViewId="0">
      <selection activeCell="D33" sqref="D33"/>
    </sheetView>
  </sheetViews>
  <sheetFormatPr defaultRowHeight="13.5" x14ac:dyDescent="0.15"/>
  <cols>
    <col min="2" max="2" width="11.375" customWidth="1"/>
    <col min="10" max="10" width="9.5" bestFit="1" customWidth="1"/>
    <col min="18" max="18" width="9.5" bestFit="1" customWidth="1"/>
  </cols>
  <sheetData>
    <row r="1" spans="2:18" x14ac:dyDescent="0.15">
      <c r="C1" s="24" t="s">
        <v>77</v>
      </c>
      <c r="D1" s="24"/>
      <c r="E1" s="24"/>
      <c r="F1" s="24"/>
      <c r="G1" s="24"/>
      <c r="H1" s="24"/>
      <c r="I1" s="24"/>
      <c r="J1" s="24"/>
      <c r="K1" t="s">
        <v>78</v>
      </c>
    </row>
    <row r="2" spans="2:18" x14ac:dyDescent="0.15">
      <c r="B2" s="22"/>
      <c r="C2" s="21" t="s">
        <v>6</v>
      </c>
      <c r="D2" s="21" t="s">
        <v>7</v>
      </c>
      <c r="E2" s="21" t="s">
        <v>8</v>
      </c>
      <c r="F2" s="21" t="s">
        <v>9</v>
      </c>
      <c r="G2" s="21" t="s">
        <v>10</v>
      </c>
      <c r="H2" s="21" t="s">
        <v>11</v>
      </c>
      <c r="I2" s="21" t="s">
        <v>12</v>
      </c>
      <c r="J2" s="2" t="s">
        <v>13</v>
      </c>
      <c r="K2" s="21" t="s">
        <v>6</v>
      </c>
      <c r="L2" s="21" t="s">
        <v>7</v>
      </c>
      <c r="M2" s="21" t="s">
        <v>8</v>
      </c>
      <c r="N2" s="21" t="s">
        <v>9</v>
      </c>
      <c r="O2" s="21" t="s">
        <v>10</v>
      </c>
      <c r="P2" s="21" t="s">
        <v>11</v>
      </c>
      <c r="Q2" s="21" t="s">
        <v>12</v>
      </c>
      <c r="R2" s="21" t="s">
        <v>76</v>
      </c>
    </row>
    <row r="3" spans="2:18" x14ac:dyDescent="0.15">
      <c r="B3" s="22" t="s">
        <v>75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</sheetData>
  <mergeCells count="1">
    <mergeCell ref="C1:J1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95420-9378-4D57-8248-ACCABD57D38A}">
  <sheetPr codeName="Sheet12"/>
  <dimension ref="A1:V240"/>
  <sheetViews>
    <sheetView zoomScale="89" zoomScaleNormal="89" workbookViewId="0"/>
  </sheetViews>
  <sheetFormatPr defaultRowHeight="13.5" x14ac:dyDescent="0.15"/>
  <cols>
    <col min="1" max="1" width="11.75" style="1" bestFit="1" customWidth="1"/>
    <col min="2" max="2" width="12" style="1" customWidth="1"/>
    <col min="3" max="17" width="9" style="1"/>
    <col min="18" max="18" width="9" style="1" customWidth="1"/>
    <col min="19" max="21" width="9.5" style="1" bestFit="1" customWidth="1"/>
    <col min="22" max="22" width="14.875" style="1" customWidth="1"/>
    <col min="23" max="16384" width="9" style="1"/>
  </cols>
  <sheetData>
    <row r="1" spans="1:22" x14ac:dyDescent="0.15">
      <c r="A1" s="1" t="s">
        <v>0</v>
      </c>
    </row>
    <row r="2" spans="1:22" ht="13.5" customHeight="1" x14ac:dyDescent="0.15">
      <c r="A2" s="29" t="s">
        <v>1</v>
      </c>
      <c r="B2" s="32"/>
      <c r="C2" s="28" t="s">
        <v>3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15">
      <c r="A3" s="30"/>
      <c r="B3" s="33"/>
      <c r="C3" s="28" t="s">
        <v>4</v>
      </c>
      <c r="D3" s="28"/>
      <c r="E3" s="28"/>
      <c r="F3" s="28"/>
      <c r="G3" s="28"/>
      <c r="H3" s="28"/>
      <c r="I3" s="28"/>
      <c r="J3" s="28"/>
      <c r="K3" s="28" t="s">
        <v>5</v>
      </c>
      <c r="L3" s="28"/>
      <c r="M3" s="28"/>
      <c r="N3" s="28"/>
      <c r="O3" s="28"/>
      <c r="P3" s="28"/>
      <c r="Q3" s="28"/>
      <c r="R3" s="28"/>
    </row>
    <row r="4" spans="1:22" s="3" customFormat="1" ht="27" customHeight="1" x14ac:dyDescent="0.15">
      <c r="A4" s="30"/>
      <c r="B4" s="33"/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79</v>
      </c>
      <c r="K4" s="2" t="s">
        <v>6</v>
      </c>
      <c r="L4" s="2" t="s">
        <v>7</v>
      </c>
      <c r="M4" s="2" t="s">
        <v>8</v>
      </c>
      <c r="N4" s="2" t="s">
        <v>9</v>
      </c>
      <c r="O4" s="2" t="s">
        <v>10</v>
      </c>
      <c r="P4" s="2" t="s">
        <v>11</v>
      </c>
      <c r="Q4" s="2" t="s">
        <v>12</v>
      </c>
      <c r="R4" s="2" t="s">
        <v>79</v>
      </c>
      <c r="S4" s="28" t="s">
        <v>80</v>
      </c>
      <c r="T4" s="28"/>
      <c r="U4" s="28"/>
    </row>
    <row r="5" spans="1:22" s="3" customFormat="1" x14ac:dyDescent="0.15">
      <c r="A5" s="31"/>
      <c r="B5" s="34"/>
      <c r="C5" s="2" t="s">
        <v>14</v>
      </c>
      <c r="D5" s="2" t="s">
        <v>14</v>
      </c>
      <c r="E5" s="2" t="s">
        <v>14</v>
      </c>
      <c r="F5" s="2" t="s">
        <v>14</v>
      </c>
      <c r="G5" s="2" t="s">
        <v>14</v>
      </c>
      <c r="H5" s="2" t="s">
        <v>14</v>
      </c>
      <c r="I5" s="2" t="s">
        <v>14</v>
      </c>
      <c r="J5" s="2" t="s">
        <v>14</v>
      </c>
      <c r="K5" s="2" t="s">
        <v>14</v>
      </c>
      <c r="L5" s="2" t="s">
        <v>14</v>
      </c>
      <c r="M5" s="2" t="s">
        <v>14</v>
      </c>
      <c r="N5" s="2" t="s">
        <v>14</v>
      </c>
      <c r="O5" s="2" t="s">
        <v>14</v>
      </c>
      <c r="P5" s="2" t="s">
        <v>14</v>
      </c>
      <c r="Q5" s="2" t="s">
        <v>14</v>
      </c>
      <c r="R5" s="2" t="s">
        <v>14</v>
      </c>
      <c r="S5" s="23" t="s">
        <v>81</v>
      </c>
      <c r="T5" s="2" t="s">
        <v>82</v>
      </c>
      <c r="U5" s="2" t="s">
        <v>83</v>
      </c>
    </row>
    <row r="6" spans="1:22" x14ac:dyDescent="0.15">
      <c r="A6" s="25" t="s">
        <v>15</v>
      </c>
      <c r="B6" s="6" t="s">
        <v>84</v>
      </c>
      <c r="C6" s="1" t="e">
        <f>SUM(BMI!C6:C7)/SUM(BMI!C6:C10)</f>
        <v>#DIV/0!</v>
      </c>
      <c r="D6" s="1" t="e">
        <f>SUM(BMI!D6:D7)/SUM(BMI!D6:D10)</f>
        <v>#DIV/0!</v>
      </c>
      <c r="E6" s="1" t="e">
        <f>SUM(BMI!E6:E7)/SUM(BMI!E6:E10)</f>
        <v>#DIV/0!</v>
      </c>
      <c r="F6" s="1" t="e">
        <f>SUM(BMI!F6:F7)/SUM(BMI!F6:F10)</f>
        <v>#DIV/0!</v>
      </c>
      <c r="G6" s="1" t="e">
        <f>SUM(BMI!G6:G7)/SUM(BMI!G6:G10)</f>
        <v>#DIV/0!</v>
      </c>
      <c r="H6" s="1" t="e">
        <f>SUM(BMI!H6:H7)/SUM(BMI!H6:H10)</f>
        <v>#DIV/0!</v>
      </c>
      <c r="I6" s="1" t="e">
        <f>SUM(BMI!I6:I7)/SUM(BMI!I6:I10)</f>
        <v>#DIV/0!</v>
      </c>
      <c r="J6" s="1" t="e">
        <f>SUM(BMI!J6:J7)/SUM(BMI!J6:J10)</f>
        <v>#DIV/0!</v>
      </c>
      <c r="K6" s="1" t="e">
        <f>SUM(BMI!K6:K7)/SUM(BMI!K6:K10)</f>
        <v>#DIV/0!</v>
      </c>
      <c r="L6" s="1" t="e">
        <f>SUM(BMI!L6:L7)/SUM(BMI!L6:L10)</f>
        <v>#DIV/0!</v>
      </c>
      <c r="M6" s="1" t="e">
        <f>SUM(BMI!M6:M7)/SUM(BMI!M6:M10)</f>
        <v>#DIV/0!</v>
      </c>
      <c r="N6" s="1" t="e">
        <f>SUM(BMI!N6:N7)/SUM(BMI!N6:N10)</f>
        <v>#DIV/0!</v>
      </c>
      <c r="O6" s="1" t="e">
        <f>SUM(BMI!O6:O7)/SUM(BMI!O6:O10)</f>
        <v>#DIV/0!</v>
      </c>
      <c r="P6" s="1" t="e">
        <f>SUM(BMI!P6:P7)/SUM(BMI!P6:P10)</f>
        <v>#DIV/0!</v>
      </c>
      <c r="Q6" s="1" t="e">
        <f>SUM(BMI!Q6:Q7)/SUM(BMI!Q6:Q10)</f>
        <v>#DIV/0!</v>
      </c>
      <c r="R6" s="1" t="e">
        <f>SUM(BMI!R6:R7)/SUM(BMI!R6:R10)</f>
        <v>#DIV/0!</v>
      </c>
    </row>
    <row r="7" spans="1:22" x14ac:dyDescent="0.15">
      <c r="A7" s="26"/>
      <c r="B7" s="11" t="s">
        <v>85</v>
      </c>
      <c r="C7" s="1">
        <f>basic_data!C3</f>
        <v>0</v>
      </c>
      <c r="D7" s="1">
        <f>basic_data!D3</f>
        <v>0</v>
      </c>
      <c r="E7" s="1">
        <f>basic_data!E3</f>
        <v>0</v>
      </c>
      <c r="F7" s="1">
        <f>basic_data!F3</f>
        <v>0</v>
      </c>
      <c r="G7" s="1">
        <f>basic_data!G3</f>
        <v>0</v>
      </c>
      <c r="H7" s="1">
        <f>basic_data!H3</f>
        <v>0</v>
      </c>
      <c r="I7" s="1">
        <f>basic_data!I3</f>
        <v>0</v>
      </c>
      <c r="J7" s="1">
        <f>basic_data!J3</f>
        <v>0</v>
      </c>
      <c r="K7" s="1">
        <f>basic_data!K3</f>
        <v>0</v>
      </c>
      <c r="L7" s="1">
        <f>basic_data!L3</f>
        <v>0</v>
      </c>
      <c r="M7" s="1">
        <f>basic_data!M3</f>
        <v>0</v>
      </c>
      <c r="N7" s="1">
        <f>basic_data!N3</f>
        <v>0</v>
      </c>
      <c r="O7" s="1">
        <f>basic_data!O3</f>
        <v>0</v>
      </c>
      <c r="P7" s="1">
        <f>basic_data!P3</f>
        <v>0</v>
      </c>
      <c r="Q7" s="1">
        <f>basic_data!Q3</f>
        <v>0</v>
      </c>
      <c r="R7" s="1">
        <f>basic_data!R3</f>
        <v>0</v>
      </c>
      <c r="S7" s="1">
        <f>SUM(C7:I7)</f>
        <v>0</v>
      </c>
      <c r="T7" s="1">
        <f>SUM(K7:Q7)</f>
        <v>0</v>
      </c>
      <c r="U7" s="1">
        <f>SUM(C7:I7,K7:Q7)</f>
        <v>0</v>
      </c>
    </row>
    <row r="8" spans="1:22" x14ac:dyDescent="0.15">
      <c r="A8" s="26"/>
      <c r="B8" s="11" t="s">
        <v>86</v>
      </c>
      <c r="C8" s="1" t="e">
        <f>C7*C6</f>
        <v>#DIV/0!</v>
      </c>
      <c r="D8" s="1" t="e">
        <f>D7*D6</f>
        <v>#DIV/0!</v>
      </c>
      <c r="E8" s="1" t="e">
        <f>E7*E6</f>
        <v>#DIV/0!</v>
      </c>
      <c r="F8" s="1" t="e">
        <f>F7*F6</f>
        <v>#DIV/0!</v>
      </c>
      <c r="G8" s="1" t="e">
        <f t="shared" ref="G8:R8" si="0">G7*G6</f>
        <v>#DIV/0!</v>
      </c>
      <c r="H8" s="1" t="e">
        <f t="shared" si="0"/>
        <v>#DIV/0!</v>
      </c>
      <c r="I8" s="1" t="e">
        <f t="shared" si="0"/>
        <v>#DIV/0!</v>
      </c>
      <c r="J8" s="1" t="e">
        <f t="shared" si="0"/>
        <v>#DIV/0!</v>
      </c>
      <c r="K8" s="1" t="e">
        <f t="shared" si="0"/>
        <v>#DIV/0!</v>
      </c>
      <c r="L8" s="1" t="e">
        <f t="shared" si="0"/>
        <v>#DIV/0!</v>
      </c>
      <c r="M8" s="1" t="e">
        <f t="shared" si="0"/>
        <v>#DIV/0!</v>
      </c>
      <c r="N8" s="1" t="e">
        <f t="shared" si="0"/>
        <v>#DIV/0!</v>
      </c>
      <c r="O8" s="1" t="e">
        <f t="shared" si="0"/>
        <v>#DIV/0!</v>
      </c>
      <c r="P8" s="1" t="e">
        <f t="shared" si="0"/>
        <v>#DIV/0!</v>
      </c>
      <c r="Q8" s="1" t="e">
        <f t="shared" si="0"/>
        <v>#DIV/0!</v>
      </c>
      <c r="R8" s="1" t="e">
        <f t="shared" si="0"/>
        <v>#DIV/0!</v>
      </c>
      <c r="S8" s="1" t="e">
        <f>SUM(C8:I8)</f>
        <v>#DIV/0!</v>
      </c>
      <c r="T8" s="1" t="e">
        <f>SUM(K8:Q8)</f>
        <v>#DIV/0!</v>
      </c>
      <c r="U8" s="1" t="e">
        <f>SUM(C8:I8,K8:Q8)</f>
        <v>#DIV/0!</v>
      </c>
    </row>
    <row r="9" spans="1:22" x14ac:dyDescent="0.15">
      <c r="A9" s="26"/>
      <c r="B9" s="11"/>
      <c r="S9" s="1" t="e">
        <f>S8/S7</f>
        <v>#DIV/0!</v>
      </c>
      <c r="T9" s="1" t="e">
        <f>T8/T7</f>
        <v>#DIV/0!</v>
      </c>
      <c r="U9" s="1" t="e">
        <f>U8/U7</f>
        <v>#DIV/0!</v>
      </c>
      <c r="V9" s="1" t="s">
        <v>87</v>
      </c>
    </row>
    <row r="10" spans="1:22" x14ac:dyDescent="0.15">
      <c r="A10" s="27"/>
      <c r="B10" s="11"/>
    </row>
    <row r="11" spans="1:22" x14ac:dyDescent="0.15">
      <c r="A11" s="25" t="s">
        <v>21</v>
      </c>
      <c r="B11" s="6" t="s">
        <v>84</v>
      </c>
      <c r="C11" s="1" t="e">
        <f>SUM(BMI!C11:C12)/SUM(BMI!C11:C15)</f>
        <v>#DIV/0!</v>
      </c>
      <c r="D11" s="1" t="e">
        <f>SUM(BMI!D11:D12)/SUM(BMI!D11:D15)</f>
        <v>#DIV/0!</v>
      </c>
      <c r="E11" s="1" t="e">
        <f>SUM(BMI!E11:E12)/SUM(BMI!E11:E15)</f>
        <v>#DIV/0!</v>
      </c>
      <c r="F11" s="1" t="e">
        <f>SUM(BMI!F11:F12)/SUM(BMI!F11:F15)</f>
        <v>#DIV/0!</v>
      </c>
      <c r="G11" s="1" t="e">
        <f>SUM(BMI!G11:G12)/SUM(BMI!G11:G15)</f>
        <v>#DIV/0!</v>
      </c>
      <c r="H11" s="1" t="e">
        <f>SUM(BMI!H11:H12)/SUM(BMI!H11:H15)</f>
        <v>#DIV/0!</v>
      </c>
      <c r="I11" s="1" t="e">
        <f>SUM(BMI!I11:I12)/SUM(BMI!I11:I15)</f>
        <v>#DIV/0!</v>
      </c>
      <c r="J11" s="1" t="e">
        <f>SUM(BMI!J11:J12)/SUM(BMI!J11:J15)</f>
        <v>#DIV/0!</v>
      </c>
      <c r="K11" s="1" t="e">
        <f>SUM(BMI!K11:K12)/SUM(BMI!K11:K15)</f>
        <v>#DIV/0!</v>
      </c>
      <c r="L11" s="1" t="e">
        <f>SUM(BMI!L11:L12)/SUM(BMI!L11:L15)</f>
        <v>#DIV/0!</v>
      </c>
      <c r="M11" s="1" t="e">
        <f>SUM(BMI!M11:M12)/SUM(BMI!M11:M15)</f>
        <v>#DIV/0!</v>
      </c>
      <c r="N11" s="1" t="e">
        <f>SUM(BMI!N11:N12)/SUM(BMI!N11:N15)</f>
        <v>#DIV/0!</v>
      </c>
      <c r="O11" s="1" t="e">
        <f>SUM(BMI!O11:O12)/SUM(BMI!O11:O15)</f>
        <v>#DIV/0!</v>
      </c>
      <c r="P11" s="1" t="e">
        <f>SUM(BMI!P11:P12)/SUM(BMI!P11:P15)</f>
        <v>#DIV/0!</v>
      </c>
      <c r="Q11" s="1" t="e">
        <f>SUM(BMI!Q11:Q12)/SUM(BMI!Q11:Q15)</f>
        <v>#DIV/0!</v>
      </c>
      <c r="R11" s="1" t="e">
        <f>SUM(BMI!R11:R12)/SUM(BMI!R11:R15)</f>
        <v>#DIV/0!</v>
      </c>
    </row>
    <row r="12" spans="1:22" x14ac:dyDescent="0.15">
      <c r="A12" s="26"/>
      <c r="B12" s="11" t="s">
        <v>85</v>
      </c>
      <c r="C12" s="1">
        <f>basic_data!C3</f>
        <v>0</v>
      </c>
      <c r="D12" s="1">
        <f>basic_data!D3</f>
        <v>0</v>
      </c>
      <c r="E12" s="1">
        <f>basic_data!E3</f>
        <v>0</v>
      </c>
      <c r="F12" s="1">
        <f>basic_data!F3</f>
        <v>0</v>
      </c>
      <c r="G12" s="1">
        <f>basic_data!G3</f>
        <v>0</v>
      </c>
      <c r="H12" s="1">
        <f>basic_data!H3</f>
        <v>0</v>
      </c>
      <c r="I12" s="1">
        <f>basic_data!I3</f>
        <v>0</v>
      </c>
      <c r="J12" s="1">
        <f>basic_data!J3</f>
        <v>0</v>
      </c>
      <c r="K12" s="1">
        <f>basic_data!K3</f>
        <v>0</v>
      </c>
      <c r="L12" s="1">
        <f>basic_data!L3</f>
        <v>0</v>
      </c>
      <c r="M12" s="1">
        <f>basic_data!M3</f>
        <v>0</v>
      </c>
      <c r="N12" s="1">
        <f>basic_data!N3</f>
        <v>0</v>
      </c>
      <c r="O12" s="1">
        <f>basic_data!O3</f>
        <v>0</v>
      </c>
      <c r="P12" s="1">
        <f>basic_data!P3</f>
        <v>0</v>
      </c>
      <c r="Q12" s="1">
        <f>basic_data!Q3</f>
        <v>0</v>
      </c>
      <c r="R12" s="1">
        <f>basic_data!R3</f>
        <v>0</v>
      </c>
      <c r="S12" s="1">
        <f>SUM(C12:I12)</f>
        <v>0</v>
      </c>
      <c r="T12" s="1">
        <f>SUM(K12:Q12)</f>
        <v>0</v>
      </c>
      <c r="U12" s="1">
        <f>SUM(C12:I12,K12:Q12)</f>
        <v>0</v>
      </c>
    </row>
    <row r="13" spans="1:22" x14ac:dyDescent="0.15">
      <c r="A13" s="26"/>
      <c r="B13" s="11" t="s">
        <v>86</v>
      </c>
      <c r="C13" s="1" t="e">
        <f>C12*C11</f>
        <v>#DIV/0!</v>
      </c>
      <c r="D13" s="1" t="e">
        <f t="shared" ref="D13:R13" si="1">D12*D11</f>
        <v>#DIV/0!</v>
      </c>
      <c r="E13" s="1" t="e">
        <f t="shared" si="1"/>
        <v>#DIV/0!</v>
      </c>
      <c r="F13" s="1" t="e">
        <f t="shared" si="1"/>
        <v>#DIV/0!</v>
      </c>
      <c r="G13" s="1" t="e">
        <f t="shared" si="1"/>
        <v>#DIV/0!</v>
      </c>
      <c r="H13" s="1" t="e">
        <f t="shared" si="1"/>
        <v>#DIV/0!</v>
      </c>
      <c r="I13" s="1" t="e">
        <f t="shared" si="1"/>
        <v>#DIV/0!</v>
      </c>
      <c r="J13" s="1" t="e">
        <f t="shared" si="1"/>
        <v>#DIV/0!</v>
      </c>
      <c r="K13" s="1" t="e">
        <f t="shared" si="1"/>
        <v>#DIV/0!</v>
      </c>
      <c r="L13" s="1" t="e">
        <f t="shared" si="1"/>
        <v>#DIV/0!</v>
      </c>
      <c r="M13" s="1" t="e">
        <f t="shared" si="1"/>
        <v>#DIV/0!</v>
      </c>
      <c r="N13" s="1" t="e">
        <f t="shared" si="1"/>
        <v>#DIV/0!</v>
      </c>
      <c r="O13" s="1" t="e">
        <f t="shared" si="1"/>
        <v>#DIV/0!</v>
      </c>
      <c r="P13" s="1" t="e">
        <f t="shared" si="1"/>
        <v>#DIV/0!</v>
      </c>
      <c r="Q13" s="1" t="e">
        <f t="shared" si="1"/>
        <v>#DIV/0!</v>
      </c>
      <c r="R13" s="1" t="e">
        <f t="shared" si="1"/>
        <v>#DIV/0!</v>
      </c>
      <c r="S13" s="1" t="e">
        <f>SUM(C13:I13)</f>
        <v>#DIV/0!</v>
      </c>
      <c r="T13" s="1" t="e">
        <f>SUM(K13:Q13)</f>
        <v>#DIV/0!</v>
      </c>
      <c r="U13" s="1" t="e">
        <f>SUM(C13:I13,K13:Q13)</f>
        <v>#DIV/0!</v>
      </c>
    </row>
    <row r="14" spans="1:22" x14ac:dyDescent="0.15">
      <c r="A14" s="26"/>
      <c r="B14" s="11"/>
      <c r="S14" s="1" t="e">
        <f>S13/S12</f>
        <v>#DIV/0!</v>
      </c>
      <c r="T14" s="1" t="e">
        <f>T13/T12</f>
        <v>#DIV/0!</v>
      </c>
      <c r="U14" s="1" t="e">
        <f>U13/U12</f>
        <v>#DIV/0!</v>
      </c>
      <c r="V14" s="1" t="s">
        <v>87</v>
      </c>
    </row>
    <row r="15" spans="1:22" x14ac:dyDescent="0.15">
      <c r="A15" s="27"/>
      <c r="B15" s="11"/>
    </row>
    <row r="16" spans="1:22" x14ac:dyDescent="0.15">
      <c r="A16" s="25" t="s">
        <v>22</v>
      </c>
      <c r="B16" s="6"/>
    </row>
    <row r="17" spans="1:2" x14ac:dyDescent="0.15">
      <c r="A17" s="26"/>
      <c r="B17" s="11"/>
    </row>
    <row r="18" spans="1:2" x14ac:dyDescent="0.15">
      <c r="A18" s="26"/>
      <c r="B18" s="11"/>
    </row>
    <row r="19" spans="1:2" x14ac:dyDescent="0.15">
      <c r="A19" s="26"/>
      <c r="B19" s="11"/>
    </row>
    <row r="20" spans="1:2" x14ac:dyDescent="0.15">
      <c r="A20" s="27"/>
      <c r="B20" s="11"/>
    </row>
    <row r="21" spans="1:2" x14ac:dyDescent="0.15">
      <c r="A21" s="25" t="s">
        <v>23</v>
      </c>
      <c r="B21" s="6"/>
    </row>
    <row r="22" spans="1:2" x14ac:dyDescent="0.15">
      <c r="A22" s="26"/>
      <c r="B22" s="11"/>
    </row>
    <row r="23" spans="1:2" x14ac:dyDescent="0.15">
      <c r="A23" s="26"/>
      <c r="B23" s="11"/>
    </row>
    <row r="24" spans="1:2" x14ac:dyDescent="0.15">
      <c r="A24" s="26"/>
      <c r="B24" s="11"/>
    </row>
    <row r="25" spans="1:2" x14ac:dyDescent="0.15">
      <c r="A25" s="27"/>
      <c r="B25" s="11"/>
    </row>
    <row r="26" spans="1:2" x14ac:dyDescent="0.15">
      <c r="A26" s="25" t="s">
        <v>24</v>
      </c>
      <c r="B26" s="6"/>
    </row>
    <row r="27" spans="1:2" x14ac:dyDescent="0.15">
      <c r="A27" s="26"/>
      <c r="B27" s="11"/>
    </row>
    <row r="28" spans="1:2" x14ac:dyDescent="0.15">
      <c r="A28" s="26"/>
      <c r="B28" s="11"/>
    </row>
    <row r="29" spans="1:2" x14ac:dyDescent="0.15">
      <c r="A29" s="26"/>
      <c r="B29" s="11"/>
    </row>
    <row r="30" spans="1:2" x14ac:dyDescent="0.15">
      <c r="A30" s="27"/>
      <c r="B30" s="11"/>
    </row>
    <row r="31" spans="1:2" x14ac:dyDescent="0.15">
      <c r="A31" s="25" t="s">
        <v>25</v>
      </c>
      <c r="B31" s="6"/>
    </row>
    <row r="32" spans="1:2" x14ac:dyDescent="0.15">
      <c r="A32" s="26"/>
      <c r="B32" s="11"/>
    </row>
    <row r="33" spans="1:2" x14ac:dyDescent="0.15">
      <c r="A33" s="26"/>
      <c r="B33" s="11"/>
    </row>
    <row r="34" spans="1:2" x14ac:dyDescent="0.15">
      <c r="A34" s="26"/>
      <c r="B34" s="11"/>
    </row>
    <row r="35" spans="1:2" x14ac:dyDescent="0.15">
      <c r="A35" s="27"/>
      <c r="B35" s="11"/>
    </row>
    <row r="36" spans="1:2" x14ac:dyDescent="0.15">
      <c r="A36" s="25" t="s">
        <v>26</v>
      </c>
      <c r="B36" s="6"/>
    </row>
    <row r="37" spans="1:2" x14ac:dyDescent="0.15">
      <c r="A37" s="26"/>
      <c r="B37" s="11"/>
    </row>
    <row r="38" spans="1:2" x14ac:dyDescent="0.15">
      <c r="A38" s="26"/>
      <c r="B38" s="11"/>
    </row>
    <row r="39" spans="1:2" x14ac:dyDescent="0.15">
      <c r="A39" s="26"/>
      <c r="B39" s="11"/>
    </row>
    <row r="40" spans="1:2" x14ac:dyDescent="0.15">
      <c r="A40" s="27"/>
      <c r="B40" s="15"/>
    </row>
    <row r="41" spans="1:2" x14ac:dyDescent="0.15">
      <c r="A41" s="25" t="s">
        <v>27</v>
      </c>
      <c r="B41" s="6"/>
    </row>
    <row r="42" spans="1:2" x14ac:dyDescent="0.15">
      <c r="A42" s="26"/>
      <c r="B42" s="11"/>
    </row>
    <row r="43" spans="1:2" x14ac:dyDescent="0.15">
      <c r="A43" s="26"/>
      <c r="B43" s="11"/>
    </row>
    <row r="44" spans="1:2" x14ac:dyDescent="0.15">
      <c r="A44" s="26"/>
      <c r="B44" s="11"/>
    </row>
    <row r="45" spans="1:2" x14ac:dyDescent="0.15">
      <c r="A45" s="27"/>
      <c r="B45" s="11"/>
    </row>
    <row r="46" spans="1:2" x14ac:dyDescent="0.15">
      <c r="A46" s="25" t="s">
        <v>28</v>
      </c>
      <c r="B46" s="6"/>
    </row>
    <row r="47" spans="1:2" x14ac:dyDescent="0.15">
      <c r="A47" s="26"/>
      <c r="B47" s="11"/>
    </row>
    <row r="48" spans="1:2" x14ac:dyDescent="0.15">
      <c r="A48" s="26"/>
      <c r="B48" s="11"/>
    </row>
    <row r="49" spans="1:2" x14ac:dyDescent="0.15">
      <c r="A49" s="26"/>
      <c r="B49" s="11"/>
    </row>
    <row r="50" spans="1:2" x14ac:dyDescent="0.15">
      <c r="A50" s="27"/>
      <c r="B50" s="11"/>
    </row>
    <row r="51" spans="1:2" x14ac:dyDescent="0.15">
      <c r="A51" s="25" t="s">
        <v>88</v>
      </c>
      <c r="B51" s="6"/>
    </row>
    <row r="52" spans="1:2" x14ac:dyDescent="0.15">
      <c r="A52" s="26"/>
      <c r="B52" s="11"/>
    </row>
    <row r="53" spans="1:2" x14ac:dyDescent="0.15">
      <c r="A53" s="26"/>
      <c r="B53" s="11"/>
    </row>
    <row r="54" spans="1:2" x14ac:dyDescent="0.15">
      <c r="A54" s="26"/>
      <c r="B54" s="11"/>
    </row>
    <row r="55" spans="1:2" x14ac:dyDescent="0.15">
      <c r="A55" s="27"/>
      <c r="B55" s="11"/>
    </row>
    <row r="56" spans="1:2" x14ac:dyDescent="0.15">
      <c r="A56" s="25" t="s">
        <v>30</v>
      </c>
      <c r="B56" s="6"/>
    </row>
    <row r="57" spans="1:2" x14ac:dyDescent="0.15">
      <c r="A57" s="26"/>
      <c r="B57" s="11"/>
    </row>
    <row r="58" spans="1:2" x14ac:dyDescent="0.15">
      <c r="A58" s="26"/>
      <c r="B58" s="11"/>
    </row>
    <row r="59" spans="1:2" x14ac:dyDescent="0.15">
      <c r="A59" s="26"/>
      <c r="B59" s="11"/>
    </row>
    <row r="60" spans="1:2" x14ac:dyDescent="0.15">
      <c r="A60" s="27"/>
      <c r="B60" s="15"/>
    </row>
    <row r="61" spans="1:2" x14ac:dyDescent="0.15">
      <c r="A61" s="25" t="s">
        <v>31</v>
      </c>
      <c r="B61" s="6"/>
    </row>
    <row r="62" spans="1:2" x14ac:dyDescent="0.15">
      <c r="A62" s="26"/>
      <c r="B62" s="11"/>
    </row>
    <row r="63" spans="1:2" x14ac:dyDescent="0.15">
      <c r="A63" s="26"/>
      <c r="B63" s="11"/>
    </row>
    <row r="64" spans="1:2" x14ac:dyDescent="0.15">
      <c r="A64" s="26"/>
      <c r="B64" s="11"/>
    </row>
    <row r="65" spans="1:2" x14ac:dyDescent="0.15">
      <c r="A65" s="27"/>
      <c r="B65" s="11"/>
    </row>
    <row r="66" spans="1:2" x14ac:dyDescent="0.15">
      <c r="A66" s="25" t="s">
        <v>32</v>
      </c>
      <c r="B66" s="6"/>
    </row>
    <row r="67" spans="1:2" x14ac:dyDescent="0.15">
      <c r="A67" s="26"/>
      <c r="B67" s="11"/>
    </row>
    <row r="68" spans="1:2" x14ac:dyDescent="0.15">
      <c r="A68" s="26"/>
      <c r="B68" s="11"/>
    </row>
    <row r="69" spans="1:2" x14ac:dyDescent="0.15">
      <c r="A69" s="26"/>
      <c r="B69" s="11"/>
    </row>
    <row r="70" spans="1:2" x14ac:dyDescent="0.15">
      <c r="A70" s="27"/>
      <c r="B70" s="11"/>
    </row>
    <row r="71" spans="1:2" x14ac:dyDescent="0.15">
      <c r="A71" s="25" t="s">
        <v>33</v>
      </c>
      <c r="B71" s="6"/>
    </row>
    <row r="72" spans="1:2" x14ac:dyDescent="0.15">
      <c r="A72" s="26"/>
      <c r="B72" s="11"/>
    </row>
    <row r="73" spans="1:2" x14ac:dyDescent="0.15">
      <c r="A73" s="26"/>
      <c r="B73" s="11"/>
    </row>
    <row r="74" spans="1:2" x14ac:dyDescent="0.15">
      <c r="A74" s="26"/>
      <c r="B74" s="11"/>
    </row>
    <row r="75" spans="1:2" x14ac:dyDescent="0.15">
      <c r="A75" s="27"/>
      <c r="B75" s="11"/>
    </row>
    <row r="76" spans="1:2" x14ac:dyDescent="0.15">
      <c r="A76" s="25" t="s">
        <v>34</v>
      </c>
      <c r="B76" s="6"/>
    </row>
    <row r="77" spans="1:2" x14ac:dyDescent="0.15">
      <c r="A77" s="26"/>
      <c r="B77" s="11"/>
    </row>
    <row r="78" spans="1:2" x14ac:dyDescent="0.15">
      <c r="A78" s="26"/>
      <c r="B78" s="11"/>
    </row>
    <row r="79" spans="1:2" x14ac:dyDescent="0.15">
      <c r="A79" s="26"/>
      <c r="B79" s="11"/>
    </row>
    <row r="80" spans="1:2" x14ac:dyDescent="0.15">
      <c r="A80" s="27"/>
      <c r="B80" s="15"/>
    </row>
    <row r="81" spans="1:2" x14ac:dyDescent="0.15">
      <c r="A81" s="25" t="s">
        <v>35</v>
      </c>
      <c r="B81" s="6"/>
    </row>
    <row r="82" spans="1:2" x14ac:dyDescent="0.15">
      <c r="A82" s="26"/>
      <c r="B82" s="11"/>
    </row>
    <row r="83" spans="1:2" x14ac:dyDescent="0.15">
      <c r="A83" s="26"/>
      <c r="B83" s="11"/>
    </row>
    <row r="84" spans="1:2" x14ac:dyDescent="0.15">
      <c r="A84" s="26"/>
      <c r="B84" s="11"/>
    </row>
    <row r="85" spans="1:2" x14ac:dyDescent="0.15">
      <c r="A85" s="27"/>
      <c r="B85" s="11"/>
    </row>
    <row r="86" spans="1:2" x14ac:dyDescent="0.15">
      <c r="A86" s="25" t="s">
        <v>36</v>
      </c>
      <c r="B86" s="6"/>
    </row>
    <row r="87" spans="1:2" x14ac:dyDescent="0.15">
      <c r="A87" s="26"/>
      <c r="B87" s="11"/>
    </row>
    <row r="88" spans="1:2" x14ac:dyDescent="0.15">
      <c r="A88" s="26"/>
      <c r="B88" s="11"/>
    </row>
    <row r="89" spans="1:2" x14ac:dyDescent="0.15">
      <c r="A89" s="26"/>
      <c r="B89" s="11"/>
    </row>
    <row r="90" spans="1:2" x14ac:dyDescent="0.15">
      <c r="A90" s="27"/>
      <c r="B90" s="11"/>
    </row>
    <row r="91" spans="1:2" x14ac:dyDescent="0.15">
      <c r="A91" s="25" t="s">
        <v>37</v>
      </c>
      <c r="B91" s="6"/>
    </row>
    <row r="92" spans="1:2" x14ac:dyDescent="0.15">
      <c r="A92" s="26"/>
      <c r="B92" s="11"/>
    </row>
    <row r="93" spans="1:2" x14ac:dyDescent="0.15">
      <c r="A93" s="26"/>
      <c r="B93" s="11"/>
    </row>
    <row r="94" spans="1:2" x14ac:dyDescent="0.15">
      <c r="A94" s="26"/>
      <c r="B94" s="11"/>
    </row>
    <row r="95" spans="1:2" x14ac:dyDescent="0.15">
      <c r="A95" s="27"/>
      <c r="B95" s="11"/>
    </row>
    <row r="96" spans="1:2" x14ac:dyDescent="0.15">
      <c r="A96" s="25" t="s">
        <v>38</v>
      </c>
      <c r="B96" s="6"/>
    </row>
    <row r="97" spans="1:2" x14ac:dyDescent="0.15">
      <c r="A97" s="26"/>
      <c r="B97" s="11"/>
    </row>
    <row r="98" spans="1:2" x14ac:dyDescent="0.15">
      <c r="A98" s="26"/>
      <c r="B98" s="11"/>
    </row>
    <row r="99" spans="1:2" x14ac:dyDescent="0.15">
      <c r="A99" s="26"/>
      <c r="B99" s="11"/>
    </row>
    <row r="100" spans="1:2" x14ac:dyDescent="0.15">
      <c r="A100" s="27"/>
      <c r="B100" s="11"/>
    </row>
    <row r="101" spans="1:2" x14ac:dyDescent="0.15">
      <c r="A101" s="25" t="s">
        <v>39</v>
      </c>
      <c r="B101" s="6"/>
    </row>
    <row r="102" spans="1:2" x14ac:dyDescent="0.15">
      <c r="A102" s="26"/>
      <c r="B102" s="11"/>
    </row>
    <row r="103" spans="1:2" x14ac:dyDescent="0.15">
      <c r="A103" s="26"/>
      <c r="B103" s="11"/>
    </row>
    <row r="104" spans="1:2" x14ac:dyDescent="0.15">
      <c r="A104" s="26"/>
      <c r="B104" s="11"/>
    </row>
    <row r="105" spans="1:2" x14ac:dyDescent="0.15">
      <c r="A105" s="27"/>
      <c r="B105" s="11"/>
    </row>
    <row r="106" spans="1:2" x14ac:dyDescent="0.15">
      <c r="A106" s="25" t="s">
        <v>40</v>
      </c>
      <c r="B106" s="6"/>
    </row>
    <row r="107" spans="1:2" x14ac:dyDescent="0.15">
      <c r="A107" s="26"/>
      <c r="B107" s="11"/>
    </row>
    <row r="108" spans="1:2" x14ac:dyDescent="0.15">
      <c r="A108" s="26"/>
      <c r="B108" s="11"/>
    </row>
    <row r="109" spans="1:2" x14ac:dyDescent="0.15">
      <c r="A109" s="26"/>
      <c r="B109" s="11"/>
    </row>
    <row r="110" spans="1:2" x14ac:dyDescent="0.15">
      <c r="A110" s="27"/>
      <c r="B110" s="11"/>
    </row>
    <row r="111" spans="1:2" x14ac:dyDescent="0.15">
      <c r="A111" s="25" t="s">
        <v>41</v>
      </c>
      <c r="B111" s="6"/>
    </row>
    <row r="112" spans="1:2" x14ac:dyDescent="0.15">
      <c r="A112" s="26"/>
      <c r="B112" s="11"/>
    </row>
    <row r="113" spans="1:2" x14ac:dyDescent="0.15">
      <c r="A113" s="26"/>
      <c r="B113" s="11"/>
    </row>
    <row r="114" spans="1:2" x14ac:dyDescent="0.15">
      <c r="A114" s="26"/>
      <c r="B114" s="11"/>
    </row>
    <row r="115" spans="1:2" x14ac:dyDescent="0.15">
      <c r="A115" s="27"/>
      <c r="B115" s="15"/>
    </row>
    <row r="116" spans="1:2" x14ac:dyDescent="0.15">
      <c r="A116" s="25" t="s">
        <v>42</v>
      </c>
      <c r="B116" s="6"/>
    </row>
    <row r="117" spans="1:2" x14ac:dyDescent="0.15">
      <c r="A117" s="26"/>
      <c r="B117" s="11"/>
    </row>
    <row r="118" spans="1:2" x14ac:dyDescent="0.15">
      <c r="A118" s="26"/>
      <c r="B118" s="11"/>
    </row>
    <row r="119" spans="1:2" x14ac:dyDescent="0.15">
      <c r="A119" s="26"/>
      <c r="B119" s="11"/>
    </row>
    <row r="120" spans="1:2" x14ac:dyDescent="0.15">
      <c r="A120" s="27"/>
      <c r="B120" s="15"/>
    </row>
    <row r="121" spans="1:2" x14ac:dyDescent="0.15">
      <c r="A121" s="25" t="s">
        <v>43</v>
      </c>
      <c r="B121" s="6"/>
    </row>
    <row r="122" spans="1:2" x14ac:dyDescent="0.15">
      <c r="A122" s="26"/>
      <c r="B122" s="11"/>
    </row>
    <row r="123" spans="1:2" x14ac:dyDescent="0.15">
      <c r="A123" s="26"/>
      <c r="B123" s="11"/>
    </row>
    <row r="124" spans="1:2" x14ac:dyDescent="0.15">
      <c r="A124" s="26"/>
      <c r="B124" s="11"/>
    </row>
    <row r="125" spans="1:2" x14ac:dyDescent="0.15">
      <c r="A125" s="27"/>
      <c r="B125" s="11"/>
    </row>
    <row r="126" spans="1:2" x14ac:dyDescent="0.15">
      <c r="A126" s="25" t="s">
        <v>44</v>
      </c>
      <c r="B126" s="6"/>
    </row>
    <row r="127" spans="1:2" x14ac:dyDescent="0.15">
      <c r="A127" s="26"/>
      <c r="B127" s="11"/>
    </row>
    <row r="128" spans="1:2" x14ac:dyDescent="0.15">
      <c r="A128" s="26"/>
      <c r="B128" s="11"/>
    </row>
    <row r="129" spans="1:2" x14ac:dyDescent="0.15">
      <c r="A129" s="26"/>
      <c r="B129" s="11"/>
    </row>
    <row r="130" spans="1:2" x14ac:dyDescent="0.15">
      <c r="A130" s="27"/>
      <c r="B130" s="11"/>
    </row>
    <row r="131" spans="1:2" x14ac:dyDescent="0.15">
      <c r="A131" s="25" t="s">
        <v>45</v>
      </c>
      <c r="B131" s="6"/>
    </row>
    <row r="132" spans="1:2" x14ac:dyDescent="0.15">
      <c r="A132" s="26"/>
      <c r="B132" s="11"/>
    </row>
    <row r="133" spans="1:2" x14ac:dyDescent="0.15">
      <c r="A133" s="26"/>
      <c r="B133" s="11"/>
    </row>
    <row r="134" spans="1:2" x14ac:dyDescent="0.15">
      <c r="A134" s="26"/>
      <c r="B134" s="11"/>
    </row>
    <row r="135" spans="1:2" x14ac:dyDescent="0.15">
      <c r="A135" s="27"/>
      <c r="B135" s="11"/>
    </row>
    <row r="136" spans="1:2" x14ac:dyDescent="0.15">
      <c r="A136" s="25" t="s">
        <v>46</v>
      </c>
      <c r="B136" s="6"/>
    </row>
    <row r="137" spans="1:2" x14ac:dyDescent="0.15">
      <c r="A137" s="26"/>
      <c r="B137" s="11"/>
    </row>
    <row r="138" spans="1:2" x14ac:dyDescent="0.15">
      <c r="A138" s="26"/>
      <c r="B138" s="11"/>
    </row>
    <row r="139" spans="1:2" x14ac:dyDescent="0.15">
      <c r="A139" s="26"/>
      <c r="B139" s="11"/>
    </row>
    <row r="140" spans="1:2" x14ac:dyDescent="0.15">
      <c r="A140" s="27"/>
      <c r="B140" s="11"/>
    </row>
    <row r="141" spans="1:2" x14ac:dyDescent="0.15">
      <c r="A141" s="25" t="s">
        <v>47</v>
      </c>
      <c r="B141" s="6"/>
    </row>
    <row r="142" spans="1:2" x14ac:dyDescent="0.15">
      <c r="A142" s="26"/>
      <c r="B142" s="11"/>
    </row>
    <row r="143" spans="1:2" x14ac:dyDescent="0.15">
      <c r="A143" s="26"/>
      <c r="B143" s="11"/>
    </row>
    <row r="144" spans="1:2" x14ac:dyDescent="0.15">
      <c r="A144" s="26"/>
      <c r="B144" s="11"/>
    </row>
    <row r="145" spans="1:2" x14ac:dyDescent="0.15">
      <c r="A145" s="27"/>
      <c r="B145" s="11"/>
    </row>
    <row r="146" spans="1:2" x14ac:dyDescent="0.15">
      <c r="A146" s="25" t="s">
        <v>48</v>
      </c>
      <c r="B146" s="6"/>
    </row>
    <row r="147" spans="1:2" x14ac:dyDescent="0.15">
      <c r="A147" s="26"/>
      <c r="B147" s="11"/>
    </row>
    <row r="148" spans="1:2" x14ac:dyDescent="0.15">
      <c r="A148" s="26"/>
      <c r="B148" s="11"/>
    </row>
    <row r="149" spans="1:2" x14ac:dyDescent="0.15">
      <c r="A149" s="26"/>
      <c r="B149" s="11"/>
    </row>
    <row r="150" spans="1:2" x14ac:dyDescent="0.15">
      <c r="A150" s="27"/>
      <c r="B150" s="11"/>
    </row>
    <row r="151" spans="1:2" x14ac:dyDescent="0.15">
      <c r="A151" s="25" t="s">
        <v>49</v>
      </c>
      <c r="B151" s="6"/>
    </row>
    <row r="152" spans="1:2" x14ac:dyDescent="0.15">
      <c r="A152" s="26"/>
      <c r="B152" s="11"/>
    </row>
    <row r="153" spans="1:2" x14ac:dyDescent="0.15">
      <c r="A153" s="26"/>
      <c r="B153" s="11"/>
    </row>
    <row r="154" spans="1:2" x14ac:dyDescent="0.15">
      <c r="A154" s="26"/>
      <c r="B154" s="11"/>
    </row>
    <row r="155" spans="1:2" x14ac:dyDescent="0.15">
      <c r="A155" s="27"/>
      <c r="B155" s="11"/>
    </row>
    <row r="156" spans="1:2" x14ac:dyDescent="0.15">
      <c r="A156" s="25" t="s">
        <v>50</v>
      </c>
      <c r="B156" s="6"/>
    </row>
    <row r="157" spans="1:2" x14ac:dyDescent="0.15">
      <c r="A157" s="26"/>
      <c r="B157" s="11"/>
    </row>
    <row r="158" spans="1:2" x14ac:dyDescent="0.15">
      <c r="A158" s="26"/>
      <c r="B158" s="11"/>
    </row>
    <row r="159" spans="1:2" x14ac:dyDescent="0.15">
      <c r="A159" s="26"/>
      <c r="B159" s="11"/>
    </row>
    <row r="160" spans="1:2" x14ac:dyDescent="0.15">
      <c r="A160" s="27"/>
      <c r="B160" s="15"/>
    </row>
    <row r="161" spans="1:2" x14ac:dyDescent="0.15">
      <c r="A161" s="25" t="s">
        <v>51</v>
      </c>
      <c r="B161" s="6"/>
    </row>
    <row r="162" spans="1:2" x14ac:dyDescent="0.15">
      <c r="A162" s="26"/>
      <c r="B162" s="11"/>
    </row>
    <row r="163" spans="1:2" x14ac:dyDescent="0.15">
      <c r="A163" s="26"/>
      <c r="B163" s="11"/>
    </row>
    <row r="164" spans="1:2" x14ac:dyDescent="0.15">
      <c r="A164" s="26"/>
      <c r="B164" s="11"/>
    </row>
    <row r="165" spans="1:2" x14ac:dyDescent="0.15">
      <c r="A165" s="27"/>
      <c r="B165" s="11"/>
    </row>
    <row r="166" spans="1:2" x14ac:dyDescent="0.15">
      <c r="A166" s="25" t="s">
        <v>52</v>
      </c>
      <c r="B166" s="6"/>
    </row>
    <row r="167" spans="1:2" x14ac:dyDescent="0.15">
      <c r="A167" s="26"/>
      <c r="B167" s="11"/>
    </row>
    <row r="168" spans="1:2" x14ac:dyDescent="0.15">
      <c r="A168" s="26"/>
      <c r="B168" s="11"/>
    </row>
    <row r="169" spans="1:2" x14ac:dyDescent="0.15">
      <c r="A169" s="26"/>
      <c r="B169" s="11"/>
    </row>
    <row r="170" spans="1:2" x14ac:dyDescent="0.15">
      <c r="A170" s="27"/>
      <c r="B170" s="15"/>
    </row>
    <row r="171" spans="1:2" x14ac:dyDescent="0.15">
      <c r="A171" s="25" t="s">
        <v>53</v>
      </c>
      <c r="B171" s="6"/>
    </row>
    <row r="172" spans="1:2" x14ac:dyDescent="0.15">
      <c r="A172" s="26"/>
      <c r="B172" s="11"/>
    </row>
    <row r="173" spans="1:2" x14ac:dyDescent="0.15">
      <c r="A173" s="26"/>
      <c r="B173" s="11"/>
    </row>
    <row r="174" spans="1:2" x14ac:dyDescent="0.15">
      <c r="A174" s="26"/>
      <c r="B174" s="11"/>
    </row>
    <row r="175" spans="1:2" x14ac:dyDescent="0.15">
      <c r="A175" s="27"/>
      <c r="B175" s="11"/>
    </row>
    <row r="176" spans="1:2" x14ac:dyDescent="0.15">
      <c r="A176" s="25" t="s">
        <v>54</v>
      </c>
      <c r="B176" s="6"/>
    </row>
    <row r="177" spans="1:2" x14ac:dyDescent="0.15">
      <c r="A177" s="26"/>
      <c r="B177" s="11"/>
    </row>
    <row r="178" spans="1:2" x14ac:dyDescent="0.15">
      <c r="A178" s="26"/>
      <c r="B178" s="11"/>
    </row>
    <row r="179" spans="1:2" x14ac:dyDescent="0.15">
      <c r="A179" s="26"/>
      <c r="B179" s="11"/>
    </row>
    <row r="180" spans="1:2" x14ac:dyDescent="0.15">
      <c r="A180" s="27"/>
      <c r="B180" s="11"/>
    </row>
    <row r="181" spans="1:2" x14ac:dyDescent="0.15">
      <c r="A181" s="25" t="s">
        <v>55</v>
      </c>
      <c r="B181" s="6"/>
    </row>
    <row r="182" spans="1:2" x14ac:dyDescent="0.15">
      <c r="A182" s="26"/>
      <c r="B182" s="11"/>
    </row>
    <row r="183" spans="1:2" x14ac:dyDescent="0.15">
      <c r="A183" s="26"/>
      <c r="B183" s="11"/>
    </row>
    <row r="184" spans="1:2" x14ac:dyDescent="0.15">
      <c r="A184" s="26"/>
      <c r="B184" s="11"/>
    </row>
    <row r="185" spans="1:2" x14ac:dyDescent="0.15">
      <c r="A185" s="27"/>
      <c r="B185" s="11"/>
    </row>
    <row r="186" spans="1:2" x14ac:dyDescent="0.15">
      <c r="A186" s="25" t="s">
        <v>56</v>
      </c>
      <c r="B186" s="6"/>
    </row>
    <row r="187" spans="1:2" x14ac:dyDescent="0.15">
      <c r="A187" s="26"/>
      <c r="B187" s="11"/>
    </row>
    <row r="188" spans="1:2" x14ac:dyDescent="0.15">
      <c r="A188" s="26"/>
      <c r="B188" s="11"/>
    </row>
    <row r="189" spans="1:2" x14ac:dyDescent="0.15">
      <c r="A189" s="26"/>
      <c r="B189" s="11"/>
    </row>
    <row r="190" spans="1:2" x14ac:dyDescent="0.15">
      <c r="A190" s="27"/>
      <c r="B190" s="11"/>
    </row>
    <row r="191" spans="1:2" x14ac:dyDescent="0.15">
      <c r="A191" s="25" t="s">
        <v>57</v>
      </c>
      <c r="B191" s="6"/>
    </row>
    <row r="192" spans="1:2" x14ac:dyDescent="0.15">
      <c r="A192" s="26"/>
      <c r="B192" s="11"/>
    </row>
    <row r="193" spans="1:2" x14ac:dyDescent="0.15">
      <c r="A193" s="26"/>
      <c r="B193" s="11"/>
    </row>
    <row r="194" spans="1:2" x14ac:dyDescent="0.15">
      <c r="A194" s="26"/>
      <c r="B194" s="11"/>
    </row>
    <row r="195" spans="1:2" x14ac:dyDescent="0.15">
      <c r="A195" s="27"/>
      <c r="B195" s="11"/>
    </row>
    <row r="196" spans="1:2" x14ac:dyDescent="0.15">
      <c r="A196" s="25" t="s">
        <v>58</v>
      </c>
      <c r="B196" s="6"/>
    </row>
    <row r="197" spans="1:2" x14ac:dyDescent="0.15">
      <c r="A197" s="26"/>
      <c r="B197" s="11"/>
    </row>
    <row r="198" spans="1:2" x14ac:dyDescent="0.15">
      <c r="A198" s="26"/>
      <c r="B198" s="11"/>
    </row>
    <row r="199" spans="1:2" x14ac:dyDescent="0.15">
      <c r="A199" s="26"/>
      <c r="B199" s="11"/>
    </row>
    <row r="200" spans="1:2" x14ac:dyDescent="0.15">
      <c r="A200" s="27"/>
      <c r="B200" s="15"/>
    </row>
    <row r="201" spans="1:2" x14ac:dyDescent="0.15">
      <c r="A201" s="25" t="s">
        <v>59</v>
      </c>
      <c r="B201" s="6"/>
    </row>
    <row r="202" spans="1:2" x14ac:dyDescent="0.15">
      <c r="A202" s="26"/>
      <c r="B202" s="11"/>
    </row>
    <row r="203" spans="1:2" x14ac:dyDescent="0.15">
      <c r="A203" s="26"/>
      <c r="B203" s="11"/>
    </row>
    <row r="204" spans="1:2" x14ac:dyDescent="0.15">
      <c r="A204" s="26"/>
      <c r="B204" s="11"/>
    </row>
    <row r="205" spans="1:2" x14ac:dyDescent="0.15">
      <c r="A205" s="27"/>
      <c r="B205" s="11"/>
    </row>
    <row r="206" spans="1:2" x14ac:dyDescent="0.15">
      <c r="A206" s="25" t="s">
        <v>60</v>
      </c>
      <c r="B206" s="6"/>
    </row>
    <row r="207" spans="1:2" x14ac:dyDescent="0.15">
      <c r="A207" s="26"/>
      <c r="B207" s="11"/>
    </row>
    <row r="208" spans="1:2" x14ac:dyDescent="0.15">
      <c r="A208" s="26"/>
      <c r="B208" s="11"/>
    </row>
    <row r="209" spans="1:2" x14ac:dyDescent="0.15">
      <c r="A209" s="26"/>
      <c r="B209" s="11"/>
    </row>
    <row r="210" spans="1:2" x14ac:dyDescent="0.15">
      <c r="A210" s="27"/>
      <c r="B210" s="11"/>
    </row>
    <row r="211" spans="1:2" x14ac:dyDescent="0.15">
      <c r="A211" s="25" t="s">
        <v>61</v>
      </c>
      <c r="B211" s="6"/>
    </row>
    <row r="212" spans="1:2" x14ac:dyDescent="0.15">
      <c r="A212" s="26"/>
      <c r="B212" s="11"/>
    </row>
    <row r="213" spans="1:2" x14ac:dyDescent="0.15">
      <c r="A213" s="26"/>
      <c r="B213" s="11"/>
    </row>
    <row r="214" spans="1:2" x14ac:dyDescent="0.15">
      <c r="A214" s="26"/>
      <c r="B214" s="11"/>
    </row>
    <row r="215" spans="1:2" x14ac:dyDescent="0.15">
      <c r="A215" s="27"/>
      <c r="B215" s="11"/>
    </row>
    <row r="216" spans="1:2" x14ac:dyDescent="0.15">
      <c r="A216" s="25" t="s">
        <v>62</v>
      </c>
      <c r="B216" s="6"/>
    </row>
    <row r="217" spans="1:2" x14ac:dyDescent="0.15">
      <c r="A217" s="26"/>
      <c r="B217" s="11"/>
    </row>
    <row r="218" spans="1:2" x14ac:dyDescent="0.15">
      <c r="A218" s="26"/>
      <c r="B218" s="11"/>
    </row>
    <row r="219" spans="1:2" x14ac:dyDescent="0.15">
      <c r="A219" s="26"/>
      <c r="B219" s="11"/>
    </row>
    <row r="220" spans="1:2" x14ac:dyDescent="0.15">
      <c r="A220" s="27"/>
      <c r="B220" s="11"/>
    </row>
    <row r="221" spans="1:2" x14ac:dyDescent="0.15">
      <c r="A221" s="25" t="s">
        <v>63</v>
      </c>
      <c r="B221" s="6"/>
    </row>
    <row r="222" spans="1:2" x14ac:dyDescent="0.15">
      <c r="A222" s="26"/>
      <c r="B222" s="11"/>
    </row>
    <row r="223" spans="1:2" x14ac:dyDescent="0.15">
      <c r="A223" s="26"/>
      <c r="B223" s="11"/>
    </row>
    <row r="224" spans="1:2" x14ac:dyDescent="0.15">
      <c r="A224" s="26"/>
      <c r="B224" s="11"/>
    </row>
    <row r="225" spans="1:2" x14ac:dyDescent="0.15">
      <c r="A225" s="27"/>
      <c r="B225" s="15"/>
    </row>
    <row r="226" spans="1:2" x14ac:dyDescent="0.15">
      <c r="A226" s="25" t="s">
        <v>64</v>
      </c>
      <c r="B226" s="6"/>
    </row>
    <row r="227" spans="1:2" x14ac:dyDescent="0.15">
      <c r="A227" s="26"/>
      <c r="B227" s="11"/>
    </row>
    <row r="228" spans="1:2" x14ac:dyDescent="0.15">
      <c r="A228" s="26"/>
      <c r="B228" s="11"/>
    </row>
    <row r="229" spans="1:2" x14ac:dyDescent="0.15">
      <c r="A229" s="26"/>
      <c r="B229" s="11"/>
    </row>
    <row r="230" spans="1:2" x14ac:dyDescent="0.15">
      <c r="A230" s="27"/>
      <c r="B230" s="11"/>
    </row>
    <row r="231" spans="1:2" x14ac:dyDescent="0.15">
      <c r="A231" s="25" t="s">
        <v>65</v>
      </c>
      <c r="B231" s="6"/>
    </row>
    <row r="232" spans="1:2" x14ac:dyDescent="0.15">
      <c r="A232" s="26"/>
      <c r="B232" s="11"/>
    </row>
    <row r="233" spans="1:2" x14ac:dyDescent="0.15">
      <c r="A233" s="26"/>
      <c r="B233" s="11"/>
    </row>
    <row r="234" spans="1:2" x14ac:dyDescent="0.15">
      <c r="A234" s="26"/>
      <c r="B234" s="11"/>
    </row>
    <row r="235" spans="1:2" x14ac:dyDescent="0.15">
      <c r="A235" s="27"/>
      <c r="B235" s="11"/>
    </row>
    <row r="236" spans="1:2" x14ac:dyDescent="0.15">
      <c r="A236" s="25" t="s">
        <v>66</v>
      </c>
      <c r="B236" s="6"/>
    </row>
    <row r="237" spans="1:2" x14ac:dyDescent="0.15">
      <c r="A237" s="26"/>
      <c r="B237" s="11"/>
    </row>
    <row r="238" spans="1:2" x14ac:dyDescent="0.15">
      <c r="A238" s="26"/>
      <c r="B238" s="11"/>
    </row>
    <row r="239" spans="1:2" x14ac:dyDescent="0.15">
      <c r="A239" s="26"/>
      <c r="B239" s="11"/>
    </row>
    <row r="240" spans="1:2" x14ac:dyDescent="0.15">
      <c r="A240" s="27"/>
      <c r="B240" s="15"/>
    </row>
  </sheetData>
  <mergeCells count="53">
    <mergeCell ref="S4:U4"/>
    <mergeCell ref="A31:A35"/>
    <mergeCell ref="A2:A5"/>
    <mergeCell ref="B2:B5"/>
    <mergeCell ref="C2:R2"/>
    <mergeCell ref="C3:J3"/>
    <mergeCell ref="K3:R3"/>
    <mergeCell ref="A6:A10"/>
    <mergeCell ref="A11:A15"/>
    <mergeCell ref="A16:A20"/>
    <mergeCell ref="A21:A25"/>
    <mergeCell ref="A26:A30"/>
    <mergeCell ref="A91:A95"/>
    <mergeCell ref="A36:A40"/>
    <mergeCell ref="A41:A45"/>
    <mergeCell ref="A46:A50"/>
    <mergeCell ref="A51:A55"/>
    <mergeCell ref="A56:A60"/>
    <mergeCell ref="A61:A65"/>
    <mergeCell ref="A66:A70"/>
    <mergeCell ref="A71:A75"/>
    <mergeCell ref="A76:A80"/>
    <mergeCell ref="A81:A85"/>
    <mergeCell ref="A86:A90"/>
    <mergeCell ref="A151:A155"/>
    <mergeCell ref="A96:A100"/>
    <mergeCell ref="A101:A105"/>
    <mergeCell ref="A106:A110"/>
    <mergeCell ref="A111:A115"/>
    <mergeCell ref="A116:A120"/>
    <mergeCell ref="A121:A125"/>
    <mergeCell ref="A126:A130"/>
    <mergeCell ref="A131:A135"/>
    <mergeCell ref="A136:A140"/>
    <mergeCell ref="A141:A145"/>
    <mergeCell ref="A146:A150"/>
    <mergeCell ref="A211:A215"/>
    <mergeCell ref="A156:A160"/>
    <mergeCell ref="A161:A165"/>
    <mergeCell ref="A166:A170"/>
    <mergeCell ref="A171:A175"/>
    <mergeCell ref="A176:A180"/>
    <mergeCell ref="A181:A185"/>
    <mergeCell ref="A186:A190"/>
    <mergeCell ref="A191:A195"/>
    <mergeCell ref="A196:A200"/>
    <mergeCell ref="A201:A205"/>
    <mergeCell ref="A206:A210"/>
    <mergeCell ref="A216:A220"/>
    <mergeCell ref="A221:A225"/>
    <mergeCell ref="A226:A230"/>
    <mergeCell ref="A231:A235"/>
    <mergeCell ref="A236:A240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40"/>
  <sheetViews>
    <sheetView view="pageBreakPreview" zoomScale="93" zoomScaleNormal="100" zoomScaleSheetLayoutView="93" workbookViewId="0"/>
  </sheetViews>
  <sheetFormatPr defaultColWidth="9" defaultRowHeight="13.5" x14ac:dyDescent="0.15"/>
  <cols>
    <col min="1" max="1" width="11.75" style="1" bestFit="1" customWidth="1"/>
    <col min="2" max="2" width="21.375" style="1" bestFit="1" customWidth="1"/>
    <col min="3" max="18" width="10.625" style="1" customWidth="1"/>
    <col min="19" max="16384" width="9" style="1"/>
  </cols>
  <sheetData>
    <row r="1" spans="1:20" x14ac:dyDescent="0.15">
      <c r="A1" s="1" t="s">
        <v>0</v>
      </c>
    </row>
    <row r="2" spans="1:20" ht="13.5" customHeight="1" x14ac:dyDescent="0.15">
      <c r="A2" s="29" t="s">
        <v>1</v>
      </c>
      <c r="B2" s="32" t="s">
        <v>2</v>
      </c>
      <c r="C2" s="35" t="s">
        <v>3</v>
      </c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20" x14ac:dyDescent="0.15">
      <c r="A3" s="30"/>
      <c r="B3" s="33"/>
      <c r="C3" s="35" t="s">
        <v>4</v>
      </c>
      <c r="D3" s="36"/>
      <c r="E3" s="36"/>
      <c r="F3" s="36"/>
      <c r="G3" s="36"/>
      <c r="H3" s="36"/>
      <c r="I3" s="36"/>
      <c r="J3" s="37"/>
      <c r="K3" s="35" t="s">
        <v>5</v>
      </c>
      <c r="L3" s="36"/>
      <c r="M3" s="36"/>
      <c r="N3" s="36"/>
      <c r="O3" s="36"/>
      <c r="P3" s="36"/>
      <c r="Q3" s="36"/>
      <c r="R3" s="37"/>
    </row>
    <row r="4" spans="1:20" s="3" customFormat="1" ht="27" customHeight="1" x14ac:dyDescent="0.15">
      <c r="A4" s="30"/>
      <c r="B4" s="33"/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6</v>
      </c>
      <c r="L4" s="2" t="s">
        <v>7</v>
      </c>
      <c r="M4" s="2" t="s">
        <v>8</v>
      </c>
      <c r="N4" s="2" t="s">
        <v>9</v>
      </c>
      <c r="O4" s="2" t="s">
        <v>10</v>
      </c>
      <c r="P4" s="2" t="s">
        <v>11</v>
      </c>
      <c r="Q4" s="2" t="s">
        <v>12</v>
      </c>
      <c r="R4" s="2" t="s">
        <v>13</v>
      </c>
    </row>
    <row r="5" spans="1:20" s="3" customFormat="1" x14ac:dyDescent="0.15">
      <c r="A5" s="31"/>
      <c r="B5" s="34"/>
      <c r="C5" s="4" t="s">
        <v>14</v>
      </c>
      <c r="D5" s="5" t="s">
        <v>14</v>
      </c>
      <c r="E5" s="4" t="s">
        <v>14</v>
      </c>
      <c r="F5" s="5" t="s">
        <v>14</v>
      </c>
      <c r="G5" s="4" t="s">
        <v>14</v>
      </c>
      <c r="H5" s="5" t="s">
        <v>14</v>
      </c>
      <c r="I5" s="4" t="s">
        <v>14</v>
      </c>
      <c r="J5" s="5" t="s">
        <v>14</v>
      </c>
      <c r="K5" s="4" t="s">
        <v>14</v>
      </c>
      <c r="L5" s="5" t="s">
        <v>14</v>
      </c>
      <c r="M5" s="4" t="s">
        <v>14</v>
      </c>
      <c r="N5" s="5" t="s">
        <v>14</v>
      </c>
      <c r="O5" s="4" t="s">
        <v>14</v>
      </c>
      <c r="P5" s="5" t="s">
        <v>14</v>
      </c>
      <c r="Q5" s="4" t="s">
        <v>14</v>
      </c>
      <c r="R5" s="4" t="s">
        <v>14</v>
      </c>
    </row>
    <row r="6" spans="1:20" x14ac:dyDescent="0.15">
      <c r="A6" s="25" t="s">
        <v>15</v>
      </c>
      <c r="B6" s="19" t="s">
        <v>16</v>
      </c>
      <c r="C6" s="7"/>
      <c r="D6" s="8"/>
      <c r="E6" s="7"/>
      <c r="F6" s="9"/>
      <c r="G6" s="7"/>
      <c r="H6" s="9"/>
      <c r="I6" s="7"/>
      <c r="J6" s="9"/>
      <c r="K6" s="7"/>
      <c r="L6" s="9"/>
      <c r="M6" s="7"/>
      <c r="N6" s="9"/>
      <c r="O6" s="7"/>
      <c r="P6" s="9"/>
      <c r="Q6" s="7"/>
      <c r="R6" s="7"/>
      <c r="S6" s="10"/>
      <c r="T6" s="10"/>
    </row>
    <row r="7" spans="1:20" x14ac:dyDescent="0.15">
      <c r="A7" s="26"/>
      <c r="B7" s="20" t="s">
        <v>17</v>
      </c>
      <c r="C7" s="12"/>
      <c r="D7" s="13"/>
      <c r="E7" s="12"/>
      <c r="F7" s="14"/>
      <c r="G7" s="12"/>
      <c r="H7" s="14"/>
      <c r="I7" s="12"/>
      <c r="J7" s="14"/>
      <c r="K7" s="12"/>
      <c r="L7" s="14"/>
      <c r="M7" s="12"/>
      <c r="N7" s="14"/>
      <c r="O7" s="12"/>
      <c r="P7" s="14"/>
      <c r="Q7" s="12"/>
      <c r="R7" s="12"/>
      <c r="S7" s="10"/>
      <c r="T7" s="10"/>
    </row>
    <row r="8" spans="1:20" x14ac:dyDescent="0.15">
      <c r="A8" s="26"/>
      <c r="B8" s="11" t="s">
        <v>18</v>
      </c>
      <c r="C8" s="12"/>
      <c r="D8" s="13"/>
      <c r="E8" s="12"/>
      <c r="F8" s="14"/>
      <c r="G8" s="12"/>
      <c r="H8" s="14"/>
      <c r="I8" s="12"/>
      <c r="J8" s="14"/>
      <c r="K8" s="12"/>
      <c r="L8" s="14"/>
      <c r="M8" s="12"/>
      <c r="N8" s="14"/>
      <c r="O8" s="12"/>
      <c r="P8" s="14"/>
      <c r="Q8" s="12"/>
      <c r="R8" s="12"/>
      <c r="S8" s="10"/>
      <c r="T8" s="10"/>
    </row>
    <row r="9" spans="1:20" x14ac:dyDescent="0.15">
      <c r="A9" s="26"/>
      <c r="B9" s="11" t="s">
        <v>19</v>
      </c>
      <c r="C9" s="12"/>
      <c r="D9" s="13"/>
      <c r="E9" s="12"/>
      <c r="F9" s="14"/>
      <c r="G9" s="12"/>
      <c r="H9" s="14"/>
      <c r="I9" s="12"/>
      <c r="J9" s="14"/>
      <c r="K9" s="12"/>
      <c r="L9" s="14"/>
      <c r="M9" s="12"/>
      <c r="N9" s="14"/>
      <c r="O9" s="12"/>
      <c r="P9" s="14"/>
      <c r="Q9" s="12"/>
      <c r="R9" s="12"/>
      <c r="S9" s="10"/>
      <c r="T9" s="10"/>
    </row>
    <row r="10" spans="1:20" x14ac:dyDescent="0.15">
      <c r="A10" s="27"/>
      <c r="B10" s="11" t="s">
        <v>20</v>
      </c>
      <c r="C10" s="12"/>
      <c r="D10" s="13"/>
      <c r="E10" s="12"/>
      <c r="F10" s="14"/>
      <c r="G10" s="12"/>
      <c r="H10" s="14"/>
      <c r="I10" s="12"/>
      <c r="J10" s="14"/>
      <c r="K10" s="12"/>
      <c r="L10" s="14"/>
      <c r="M10" s="12"/>
      <c r="N10" s="14"/>
      <c r="O10" s="12"/>
      <c r="P10" s="14"/>
      <c r="Q10" s="12"/>
      <c r="R10" s="12"/>
      <c r="S10" s="10"/>
      <c r="T10" s="10"/>
    </row>
    <row r="11" spans="1:20" x14ac:dyDescent="0.15">
      <c r="A11" s="25" t="s">
        <v>21</v>
      </c>
      <c r="B11" s="6" t="s">
        <v>16</v>
      </c>
      <c r="C11" s="7"/>
      <c r="D11" s="8"/>
      <c r="E11" s="7"/>
      <c r="F11" s="9"/>
      <c r="G11" s="7"/>
      <c r="H11" s="9"/>
      <c r="I11" s="7"/>
      <c r="J11" s="9"/>
      <c r="K11" s="7"/>
      <c r="L11" s="9"/>
      <c r="M11" s="7"/>
      <c r="N11" s="9"/>
      <c r="O11" s="7"/>
      <c r="P11" s="9"/>
      <c r="Q11" s="7"/>
      <c r="R11" s="7"/>
      <c r="S11" s="10"/>
      <c r="T11" s="10"/>
    </row>
    <row r="12" spans="1:20" x14ac:dyDescent="0.15">
      <c r="A12" s="26"/>
      <c r="B12" s="11" t="s">
        <v>17</v>
      </c>
      <c r="C12" s="12"/>
      <c r="D12" s="13"/>
      <c r="E12" s="12"/>
      <c r="F12" s="14"/>
      <c r="G12" s="12"/>
      <c r="H12" s="14"/>
      <c r="I12" s="12"/>
      <c r="J12" s="14"/>
      <c r="K12" s="12"/>
      <c r="L12" s="14"/>
      <c r="M12" s="12"/>
      <c r="N12" s="14"/>
      <c r="O12" s="12"/>
      <c r="P12" s="14"/>
      <c r="Q12" s="12"/>
      <c r="R12" s="12"/>
      <c r="S12" s="10"/>
      <c r="T12" s="10"/>
    </row>
    <row r="13" spans="1:20" x14ac:dyDescent="0.15">
      <c r="A13" s="26"/>
      <c r="B13" s="11" t="s">
        <v>18</v>
      </c>
      <c r="C13" s="12"/>
      <c r="D13" s="13"/>
      <c r="E13" s="12"/>
      <c r="F13" s="14"/>
      <c r="G13" s="12"/>
      <c r="H13" s="14"/>
      <c r="I13" s="12"/>
      <c r="J13" s="14"/>
      <c r="K13" s="12"/>
      <c r="L13" s="14"/>
      <c r="M13" s="12"/>
      <c r="N13" s="14"/>
      <c r="O13" s="12"/>
      <c r="P13" s="14"/>
      <c r="Q13" s="12"/>
      <c r="R13" s="12"/>
      <c r="S13" s="10"/>
      <c r="T13" s="10"/>
    </row>
    <row r="14" spans="1:20" x14ac:dyDescent="0.15">
      <c r="A14" s="26"/>
      <c r="B14" s="11" t="s">
        <v>19</v>
      </c>
      <c r="C14" s="12"/>
      <c r="D14" s="13"/>
      <c r="E14" s="12"/>
      <c r="F14" s="14"/>
      <c r="G14" s="12"/>
      <c r="H14" s="14"/>
      <c r="I14" s="12"/>
      <c r="J14" s="14"/>
      <c r="K14" s="12"/>
      <c r="L14" s="14"/>
      <c r="M14" s="12"/>
      <c r="N14" s="14"/>
      <c r="O14" s="12"/>
      <c r="P14" s="14"/>
      <c r="Q14" s="12"/>
      <c r="R14" s="12"/>
      <c r="S14" s="10"/>
      <c r="T14" s="10"/>
    </row>
    <row r="15" spans="1:20" x14ac:dyDescent="0.15">
      <c r="A15" s="27"/>
      <c r="B15" s="11" t="s">
        <v>20</v>
      </c>
      <c r="C15" s="12"/>
      <c r="D15" s="13"/>
      <c r="E15" s="12"/>
      <c r="F15" s="14"/>
      <c r="G15" s="12"/>
      <c r="H15" s="14"/>
      <c r="I15" s="12"/>
      <c r="J15" s="14"/>
      <c r="K15" s="12"/>
      <c r="L15" s="14"/>
      <c r="M15" s="12"/>
      <c r="N15" s="14"/>
      <c r="O15" s="12"/>
      <c r="P15" s="14"/>
      <c r="Q15" s="12"/>
      <c r="R15" s="12"/>
      <c r="S15" s="10"/>
      <c r="T15" s="10"/>
    </row>
    <row r="16" spans="1:20" x14ac:dyDescent="0.15">
      <c r="A16" s="25" t="s">
        <v>22</v>
      </c>
      <c r="B16" s="6" t="s">
        <v>16</v>
      </c>
      <c r="C16" s="7"/>
      <c r="D16" s="8"/>
      <c r="E16" s="7"/>
      <c r="F16" s="9"/>
      <c r="G16" s="7"/>
      <c r="H16" s="9"/>
      <c r="I16" s="7"/>
      <c r="J16" s="9"/>
      <c r="K16" s="7"/>
      <c r="L16" s="9"/>
      <c r="M16" s="7"/>
      <c r="N16" s="9"/>
      <c r="O16" s="7"/>
      <c r="P16" s="9"/>
      <c r="Q16" s="7"/>
      <c r="R16" s="7"/>
      <c r="S16" s="10"/>
      <c r="T16" s="10"/>
    </row>
    <row r="17" spans="1:20" x14ac:dyDescent="0.15">
      <c r="A17" s="26"/>
      <c r="B17" s="11" t="s">
        <v>17</v>
      </c>
      <c r="C17" s="12"/>
      <c r="D17" s="13"/>
      <c r="E17" s="12"/>
      <c r="F17" s="14"/>
      <c r="G17" s="12"/>
      <c r="H17" s="14"/>
      <c r="I17" s="12"/>
      <c r="J17" s="14"/>
      <c r="K17" s="12"/>
      <c r="L17" s="14"/>
      <c r="M17" s="12"/>
      <c r="N17" s="14"/>
      <c r="O17" s="12"/>
      <c r="P17" s="14"/>
      <c r="Q17" s="12"/>
      <c r="R17" s="12"/>
      <c r="S17" s="10"/>
      <c r="T17" s="10"/>
    </row>
    <row r="18" spans="1:20" x14ac:dyDescent="0.15">
      <c r="A18" s="26"/>
      <c r="B18" s="11" t="s">
        <v>18</v>
      </c>
      <c r="C18" s="12"/>
      <c r="D18" s="13"/>
      <c r="E18" s="12"/>
      <c r="F18" s="14"/>
      <c r="G18" s="12"/>
      <c r="H18" s="14"/>
      <c r="I18" s="12"/>
      <c r="J18" s="14"/>
      <c r="K18" s="12"/>
      <c r="L18" s="14"/>
      <c r="M18" s="12"/>
      <c r="N18" s="14"/>
      <c r="O18" s="12"/>
      <c r="P18" s="14"/>
      <c r="Q18" s="12"/>
      <c r="R18" s="12"/>
      <c r="S18" s="10"/>
      <c r="T18" s="10"/>
    </row>
    <row r="19" spans="1:20" x14ac:dyDescent="0.15">
      <c r="A19" s="26"/>
      <c r="B19" s="11" t="s">
        <v>19</v>
      </c>
      <c r="C19" s="12"/>
      <c r="D19" s="13"/>
      <c r="E19" s="12"/>
      <c r="F19" s="14"/>
      <c r="G19" s="12"/>
      <c r="H19" s="14"/>
      <c r="I19" s="12"/>
      <c r="J19" s="14"/>
      <c r="K19" s="12"/>
      <c r="L19" s="14"/>
      <c r="M19" s="12"/>
      <c r="N19" s="14"/>
      <c r="O19" s="12"/>
      <c r="P19" s="14"/>
      <c r="Q19" s="12"/>
      <c r="R19" s="12"/>
      <c r="S19" s="10"/>
      <c r="T19" s="10"/>
    </row>
    <row r="20" spans="1:20" x14ac:dyDescent="0.15">
      <c r="A20" s="27"/>
      <c r="B20" s="11" t="s">
        <v>20</v>
      </c>
      <c r="C20" s="12"/>
      <c r="D20" s="13"/>
      <c r="E20" s="12"/>
      <c r="F20" s="14"/>
      <c r="G20" s="12"/>
      <c r="H20" s="14"/>
      <c r="I20" s="12"/>
      <c r="J20" s="14"/>
      <c r="K20" s="12"/>
      <c r="L20" s="14"/>
      <c r="M20" s="12"/>
      <c r="N20" s="14"/>
      <c r="O20" s="12"/>
      <c r="P20" s="14"/>
      <c r="Q20" s="12"/>
      <c r="R20" s="12"/>
      <c r="S20" s="10"/>
      <c r="T20" s="10"/>
    </row>
    <row r="21" spans="1:20" x14ac:dyDescent="0.15">
      <c r="A21" s="25" t="s">
        <v>23</v>
      </c>
      <c r="B21" s="6" t="s">
        <v>16</v>
      </c>
      <c r="C21" s="7"/>
      <c r="D21" s="8"/>
      <c r="E21" s="7"/>
      <c r="F21" s="9"/>
      <c r="G21" s="7"/>
      <c r="H21" s="9"/>
      <c r="I21" s="7"/>
      <c r="J21" s="9"/>
      <c r="K21" s="7"/>
      <c r="L21" s="9"/>
      <c r="M21" s="7"/>
      <c r="N21" s="9"/>
      <c r="O21" s="7"/>
      <c r="P21" s="9"/>
      <c r="Q21" s="7"/>
      <c r="R21" s="7"/>
      <c r="S21" s="10"/>
      <c r="T21" s="10"/>
    </row>
    <row r="22" spans="1:20" x14ac:dyDescent="0.15">
      <c r="A22" s="26"/>
      <c r="B22" s="11" t="s">
        <v>17</v>
      </c>
      <c r="C22" s="12"/>
      <c r="D22" s="13"/>
      <c r="E22" s="12"/>
      <c r="F22" s="14"/>
      <c r="G22" s="12"/>
      <c r="H22" s="14"/>
      <c r="I22" s="12"/>
      <c r="J22" s="14"/>
      <c r="K22" s="12"/>
      <c r="L22" s="14"/>
      <c r="M22" s="12"/>
      <c r="N22" s="14"/>
      <c r="O22" s="12"/>
      <c r="P22" s="14"/>
      <c r="Q22" s="12"/>
      <c r="R22" s="12"/>
      <c r="S22" s="10"/>
      <c r="T22" s="10"/>
    </row>
    <row r="23" spans="1:20" x14ac:dyDescent="0.15">
      <c r="A23" s="26"/>
      <c r="B23" s="11" t="s">
        <v>18</v>
      </c>
      <c r="C23" s="12"/>
      <c r="D23" s="13"/>
      <c r="E23" s="12"/>
      <c r="F23" s="14"/>
      <c r="G23" s="12"/>
      <c r="H23" s="14"/>
      <c r="I23" s="12"/>
      <c r="J23" s="14"/>
      <c r="K23" s="12"/>
      <c r="L23" s="14"/>
      <c r="M23" s="12"/>
      <c r="N23" s="14"/>
      <c r="O23" s="12"/>
      <c r="P23" s="14"/>
      <c r="Q23" s="12"/>
      <c r="R23" s="12"/>
      <c r="S23" s="10"/>
      <c r="T23" s="10"/>
    </row>
    <row r="24" spans="1:20" x14ac:dyDescent="0.15">
      <c r="A24" s="26"/>
      <c r="B24" s="11" t="s">
        <v>19</v>
      </c>
      <c r="C24" s="12"/>
      <c r="D24" s="13"/>
      <c r="E24" s="12"/>
      <c r="F24" s="14"/>
      <c r="G24" s="12"/>
      <c r="H24" s="14"/>
      <c r="I24" s="12"/>
      <c r="J24" s="14"/>
      <c r="K24" s="12"/>
      <c r="L24" s="14"/>
      <c r="M24" s="12"/>
      <c r="N24" s="14"/>
      <c r="O24" s="12"/>
      <c r="P24" s="14"/>
      <c r="Q24" s="12"/>
      <c r="R24" s="12"/>
      <c r="S24" s="10"/>
      <c r="T24" s="10"/>
    </row>
    <row r="25" spans="1:20" x14ac:dyDescent="0.15">
      <c r="A25" s="27"/>
      <c r="B25" s="11" t="s">
        <v>20</v>
      </c>
      <c r="C25" s="12"/>
      <c r="D25" s="13"/>
      <c r="E25" s="12"/>
      <c r="F25" s="14"/>
      <c r="G25" s="12"/>
      <c r="H25" s="14"/>
      <c r="I25" s="12"/>
      <c r="J25" s="14"/>
      <c r="K25" s="12"/>
      <c r="L25" s="14"/>
      <c r="M25" s="12"/>
      <c r="N25" s="14"/>
      <c r="O25" s="12"/>
      <c r="P25" s="14"/>
      <c r="Q25" s="12"/>
      <c r="R25" s="12"/>
      <c r="S25" s="10"/>
      <c r="T25" s="10"/>
    </row>
    <row r="26" spans="1:20" x14ac:dyDescent="0.15">
      <c r="A26" s="25" t="s">
        <v>24</v>
      </c>
      <c r="B26" s="6" t="s">
        <v>16</v>
      </c>
      <c r="C26" s="7"/>
      <c r="D26" s="8"/>
      <c r="E26" s="7"/>
      <c r="F26" s="9"/>
      <c r="G26" s="7"/>
      <c r="H26" s="9"/>
      <c r="I26" s="7"/>
      <c r="J26" s="9"/>
      <c r="K26" s="7"/>
      <c r="L26" s="9"/>
      <c r="M26" s="7"/>
      <c r="N26" s="9"/>
      <c r="O26" s="7"/>
      <c r="P26" s="9"/>
      <c r="Q26" s="7"/>
      <c r="R26" s="7"/>
      <c r="S26" s="10"/>
      <c r="T26" s="10"/>
    </row>
    <row r="27" spans="1:20" x14ac:dyDescent="0.15">
      <c r="A27" s="26"/>
      <c r="B27" s="11" t="s">
        <v>17</v>
      </c>
      <c r="C27" s="12"/>
      <c r="D27" s="13"/>
      <c r="E27" s="12"/>
      <c r="F27" s="14"/>
      <c r="G27" s="12"/>
      <c r="H27" s="14"/>
      <c r="I27" s="12"/>
      <c r="J27" s="14"/>
      <c r="K27" s="12"/>
      <c r="L27" s="14"/>
      <c r="M27" s="12"/>
      <c r="N27" s="14"/>
      <c r="O27" s="12"/>
      <c r="P27" s="14"/>
      <c r="Q27" s="12"/>
      <c r="R27" s="12"/>
      <c r="S27" s="10"/>
      <c r="T27" s="10"/>
    </row>
    <row r="28" spans="1:20" x14ac:dyDescent="0.15">
      <c r="A28" s="26"/>
      <c r="B28" s="11" t="s">
        <v>18</v>
      </c>
      <c r="C28" s="12"/>
      <c r="D28" s="13"/>
      <c r="E28" s="12"/>
      <c r="F28" s="14"/>
      <c r="G28" s="12"/>
      <c r="H28" s="14"/>
      <c r="I28" s="12"/>
      <c r="J28" s="14"/>
      <c r="K28" s="12"/>
      <c r="L28" s="14"/>
      <c r="M28" s="12"/>
      <c r="N28" s="14"/>
      <c r="O28" s="12"/>
      <c r="P28" s="14"/>
      <c r="Q28" s="12"/>
      <c r="R28" s="12"/>
      <c r="S28" s="10"/>
      <c r="T28" s="10"/>
    </row>
    <row r="29" spans="1:20" x14ac:dyDescent="0.15">
      <c r="A29" s="26"/>
      <c r="B29" s="11" t="s">
        <v>19</v>
      </c>
      <c r="C29" s="12"/>
      <c r="D29" s="13"/>
      <c r="E29" s="12"/>
      <c r="F29" s="14"/>
      <c r="G29" s="12"/>
      <c r="H29" s="14"/>
      <c r="I29" s="12"/>
      <c r="J29" s="14"/>
      <c r="K29" s="12"/>
      <c r="L29" s="14"/>
      <c r="M29" s="12"/>
      <c r="N29" s="14"/>
      <c r="O29" s="12"/>
      <c r="P29" s="14"/>
      <c r="Q29" s="12"/>
      <c r="R29" s="12"/>
      <c r="S29" s="10"/>
      <c r="T29" s="10"/>
    </row>
    <row r="30" spans="1:20" x14ac:dyDescent="0.15">
      <c r="A30" s="27"/>
      <c r="B30" s="11" t="s">
        <v>20</v>
      </c>
      <c r="C30" s="12"/>
      <c r="D30" s="13"/>
      <c r="E30" s="12"/>
      <c r="F30" s="14"/>
      <c r="G30" s="12"/>
      <c r="H30" s="14"/>
      <c r="I30" s="12"/>
      <c r="J30" s="14"/>
      <c r="K30" s="12"/>
      <c r="L30" s="14"/>
      <c r="M30" s="12"/>
      <c r="N30" s="14"/>
      <c r="O30" s="12"/>
      <c r="P30" s="14"/>
      <c r="Q30" s="12"/>
      <c r="R30" s="12"/>
      <c r="S30" s="10"/>
      <c r="T30" s="10"/>
    </row>
    <row r="31" spans="1:20" x14ac:dyDescent="0.15">
      <c r="A31" s="25" t="s">
        <v>25</v>
      </c>
      <c r="B31" s="6" t="s">
        <v>16</v>
      </c>
      <c r="C31" s="7"/>
      <c r="D31" s="8"/>
      <c r="E31" s="7"/>
      <c r="F31" s="9"/>
      <c r="G31" s="7"/>
      <c r="H31" s="9"/>
      <c r="I31" s="7"/>
      <c r="J31" s="9"/>
      <c r="K31" s="7"/>
      <c r="L31" s="9"/>
      <c r="M31" s="7"/>
      <c r="N31" s="9"/>
      <c r="O31" s="7"/>
      <c r="P31" s="9"/>
      <c r="Q31" s="7"/>
      <c r="R31" s="7"/>
      <c r="S31" s="10"/>
      <c r="T31" s="10"/>
    </row>
    <row r="32" spans="1:20" x14ac:dyDescent="0.15">
      <c r="A32" s="26"/>
      <c r="B32" s="11" t="s">
        <v>17</v>
      </c>
      <c r="C32" s="12"/>
      <c r="D32" s="13"/>
      <c r="E32" s="12"/>
      <c r="F32" s="14"/>
      <c r="G32" s="12"/>
      <c r="H32" s="14"/>
      <c r="I32" s="12"/>
      <c r="J32" s="14"/>
      <c r="K32" s="12"/>
      <c r="L32" s="14"/>
      <c r="M32" s="12"/>
      <c r="N32" s="14"/>
      <c r="O32" s="12"/>
      <c r="P32" s="14"/>
      <c r="Q32" s="12"/>
      <c r="R32" s="12"/>
      <c r="S32" s="10"/>
      <c r="T32" s="10"/>
    </row>
    <row r="33" spans="1:20" x14ac:dyDescent="0.15">
      <c r="A33" s="26"/>
      <c r="B33" s="11" t="s">
        <v>18</v>
      </c>
      <c r="C33" s="12"/>
      <c r="D33" s="13"/>
      <c r="E33" s="12"/>
      <c r="F33" s="14"/>
      <c r="G33" s="12"/>
      <c r="H33" s="14"/>
      <c r="I33" s="12"/>
      <c r="J33" s="14"/>
      <c r="K33" s="12"/>
      <c r="L33" s="14"/>
      <c r="M33" s="12"/>
      <c r="N33" s="14"/>
      <c r="O33" s="12"/>
      <c r="P33" s="14"/>
      <c r="Q33" s="12"/>
      <c r="R33" s="12"/>
      <c r="S33" s="10"/>
      <c r="T33" s="10"/>
    </row>
    <row r="34" spans="1:20" x14ac:dyDescent="0.15">
      <c r="A34" s="26"/>
      <c r="B34" s="11" t="s">
        <v>19</v>
      </c>
      <c r="C34" s="12"/>
      <c r="D34" s="13"/>
      <c r="E34" s="12"/>
      <c r="F34" s="14"/>
      <c r="G34" s="12"/>
      <c r="H34" s="14"/>
      <c r="I34" s="12"/>
      <c r="J34" s="14"/>
      <c r="K34" s="12"/>
      <c r="L34" s="14"/>
      <c r="M34" s="12"/>
      <c r="N34" s="14"/>
      <c r="O34" s="12"/>
      <c r="P34" s="14"/>
      <c r="Q34" s="12"/>
      <c r="R34" s="12"/>
      <c r="S34" s="10"/>
      <c r="T34" s="10"/>
    </row>
    <row r="35" spans="1:20" x14ac:dyDescent="0.15">
      <c r="A35" s="27"/>
      <c r="B35" s="11" t="s">
        <v>20</v>
      </c>
      <c r="C35" s="12"/>
      <c r="D35" s="13"/>
      <c r="E35" s="12"/>
      <c r="F35" s="14"/>
      <c r="G35" s="12"/>
      <c r="H35" s="14"/>
      <c r="I35" s="12"/>
      <c r="J35" s="14"/>
      <c r="K35" s="12"/>
      <c r="L35" s="14"/>
      <c r="M35" s="12"/>
      <c r="N35" s="14"/>
      <c r="O35" s="12"/>
      <c r="P35" s="14"/>
      <c r="Q35" s="12"/>
      <c r="R35" s="12"/>
      <c r="S35" s="10"/>
      <c r="T35" s="10"/>
    </row>
    <row r="36" spans="1:20" x14ac:dyDescent="0.15">
      <c r="A36" s="25" t="s">
        <v>26</v>
      </c>
      <c r="B36" s="6" t="s">
        <v>16</v>
      </c>
      <c r="C36" s="7"/>
      <c r="D36" s="8"/>
      <c r="E36" s="7"/>
      <c r="F36" s="9"/>
      <c r="G36" s="7"/>
      <c r="H36" s="9"/>
      <c r="I36" s="7"/>
      <c r="J36" s="9"/>
      <c r="K36" s="7"/>
      <c r="L36" s="9"/>
      <c r="M36" s="7"/>
      <c r="N36" s="9"/>
      <c r="O36" s="7"/>
      <c r="P36" s="9"/>
      <c r="Q36" s="7"/>
      <c r="R36" s="7"/>
      <c r="S36" s="10"/>
      <c r="T36" s="10"/>
    </row>
    <row r="37" spans="1:20" x14ac:dyDescent="0.15">
      <c r="A37" s="26"/>
      <c r="B37" s="11" t="s">
        <v>17</v>
      </c>
      <c r="C37" s="12"/>
      <c r="D37" s="13"/>
      <c r="E37" s="12"/>
      <c r="F37" s="14"/>
      <c r="G37" s="12"/>
      <c r="H37" s="14"/>
      <c r="I37" s="12"/>
      <c r="J37" s="14"/>
      <c r="K37" s="12"/>
      <c r="L37" s="14"/>
      <c r="M37" s="12"/>
      <c r="N37" s="14"/>
      <c r="O37" s="12"/>
      <c r="P37" s="14"/>
      <c r="Q37" s="12"/>
      <c r="R37" s="12"/>
      <c r="S37" s="10"/>
      <c r="T37" s="10"/>
    </row>
    <row r="38" spans="1:20" x14ac:dyDescent="0.15">
      <c r="A38" s="26"/>
      <c r="B38" s="11" t="s">
        <v>18</v>
      </c>
      <c r="C38" s="12"/>
      <c r="D38" s="13"/>
      <c r="E38" s="12"/>
      <c r="F38" s="14"/>
      <c r="G38" s="12"/>
      <c r="H38" s="14"/>
      <c r="I38" s="12"/>
      <c r="J38" s="14"/>
      <c r="K38" s="12"/>
      <c r="L38" s="14"/>
      <c r="M38" s="12"/>
      <c r="N38" s="14"/>
      <c r="O38" s="12"/>
      <c r="P38" s="14"/>
      <c r="Q38" s="12"/>
      <c r="R38" s="12"/>
      <c r="S38" s="10"/>
      <c r="T38" s="10"/>
    </row>
    <row r="39" spans="1:20" x14ac:dyDescent="0.15">
      <c r="A39" s="26"/>
      <c r="B39" s="11" t="s">
        <v>19</v>
      </c>
      <c r="C39" s="12"/>
      <c r="D39" s="13"/>
      <c r="E39" s="12"/>
      <c r="F39" s="14"/>
      <c r="G39" s="12"/>
      <c r="H39" s="14"/>
      <c r="I39" s="12"/>
      <c r="J39" s="14"/>
      <c r="K39" s="12"/>
      <c r="L39" s="14"/>
      <c r="M39" s="12"/>
      <c r="N39" s="14"/>
      <c r="O39" s="12"/>
      <c r="P39" s="14"/>
      <c r="Q39" s="12"/>
      <c r="R39" s="12"/>
      <c r="S39" s="10"/>
      <c r="T39" s="10"/>
    </row>
    <row r="40" spans="1:20" x14ac:dyDescent="0.15">
      <c r="A40" s="27"/>
      <c r="B40" s="15" t="s">
        <v>20</v>
      </c>
      <c r="C40" s="16"/>
      <c r="D40" s="17"/>
      <c r="E40" s="16"/>
      <c r="F40" s="18"/>
      <c r="G40" s="16"/>
      <c r="H40" s="18"/>
      <c r="I40" s="16"/>
      <c r="J40" s="18"/>
      <c r="K40" s="16"/>
      <c r="L40" s="18"/>
      <c r="M40" s="16"/>
      <c r="N40" s="18"/>
      <c r="O40" s="16"/>
      <c r="P40" s="18"/>
      <c r="Q40" s="16"/>
      <c r="R40" s="16"/>
      <c r="S40" s="10"/>
      <c r="T40" s="10"/>
    </row>
    <row r="41" spans="1:20" x14ac:dyDescent="0.15">
      <c r="A41" s="25" t="s">
        <v>27</v>
      </c>
      <c r="B41" s="6" t="s">
        <v>16</v>
      </c>
      <c r="C41" s="7"/>
      <c r="D41" s="8"/>
      <c r="E41" s="7"/>
      <c r="F41" s="9"/>
      <c r="G41" s="7"/>
      <c r="H41" s="9"/>
      <c r="I41" s="7"/>
      <c r="J41" s="9"/>
      <c r="K41" s="7"/>
      <c r="L41" s="9"/>
      <c r="M41" s="7"/>
      <c r="N41" s="9"/>
      <c r="O41" s="7"/>
      <c r="P41" s="9"/>
      <c r="Q41" s="7"/>
      <c r="R41" s="7"/>
      <c r="S41" s="10"/>
      <c r="T41" s="10"/>
    </row>
    <row r="42" spans="1:20" x14ac:dyDescent="0.15">
      <c r="A42" s="26"/>
      <c r="B42" s="11" t="s">
        <v>17</v>
      </c>
      <c r="C42" s="12"/>
      <c r="D42" s="13"/>
      <c r="E42" s="12"/>
      <c r="F42" s="14"/>
      <c r="G42" s="12"/>
      <c r="H42" s="14"/>
      <c r="I42" s="12"/>
      <c r="J42" s="14"/>
      <c r="K42" s="12"/>
      <c r="L42" s="14"/>
      <c r="M42" s="12"/>
      <c r="N42" s="14"/>
      <c r="O42" s="12"/>
      <c r="P42" s="14"/>
      <c r="Q42" s="12"/>
      <c r="R42" s="12"/>
      <c r="S42" s="10"/>
      <c r="T42" s="10"/>
    </row>
    <row r="43" spans="1:20" x14ac:dyDescent="0.15">
      <c r="A43" s="26"/>
      <c r="B43" s="11" t="s">
        <v>18</v>
      </c>
      <c r="C43" s="12"/>
      <c r="D43" s="13"/>
      <c r="E43" s="12"/>
      <c r="F43" s="14"/>
      <c r="G43" s="12"/>
      <c r="H43" s="14"/>
      <c r="I43" s="12"/>
      <c r="J43" s="14"/>
      <c r="K43" s="12"/>
      <c r="L43" s="14"/>
      <c r="M43" s="12"/>
      <c r="N43" s="14"/>
      <c r="O43" s="12"/>
      <c r="P43" s="14"/>
      <c r="Q43" s="12"/>
      <c r="R43" s="12"/>
      <c r="S43" s="10"/>
      <c r="T43" s="10"/>
    </row>
    <row r="44" spans="1:20" x14ac:dyDescent="0.15">
      <c r="A44" s="26"/>
      <c r="B44" s="11" t="s">
        <v>19</v>
      </c>
      <c r="C44" s="12"/>
      <c r="D44" s="13"/>
      <c r="E44" s="12"/>
      <c r="F44" s="14"/>
      <c r="G44" s="12"/>
      <c r="H44" s="14"/>
      <c r="I44" s="12"/>
      <c r="J44" s="14"/>
      <c r="K44" s="12"/>
      <c r="L44" s="14"/>
      <c r="M44" s="12"/>
      <c r="N44" s="14"/>
      <c r="O44" s="12"/>
      <c r="P44" s="14"/>
      <c r="Q44" s="12"/>
      <c r="R44" s="12"/>
      <c r="S44" s="10"/>
      <c r="T44" s="10"/>
    </row>
    <row r="45" spans="1:20" x14ac:dyDescent="0.15">
      <c r="A45" s="27"/>
      <c r="B45" s="11" t="s">
        <v>20</v>
      </c>
      <c r="C45" s="12"/>
      <c r="D45" s="13"/>
      <c r="E45" s="12"/>
      <c r="F45" s="14"/>
      <c r="G45" s="12"/>
      <c r="H45" s="14"/>
      <c r="I45" s="12"/>
      <c r="J45" s="14"/>
      <c r="K45" s="12"/>
      <c r="L45" s="14"/>
      <c r="M45" s="12"/>
      <c r="N45" s="14"/>
      <c r="O45" s="12"/>
      <c r="P45" s="14"/>
      <c r="Q45" s="12"/>
      <c r="R45" s="12"/>
      <c r="S45" s="10"/>
      <c r="T45" s="10"/>
    </row>
    <row r="46" spans="1:20" x14ac:dyDescent="0.15">
      <c r="A46" s="25" t="s">
        <v>28</v>
      </c>
      <c r="B46" s="6" t="s">
        <v>16</v>
      </c>
      <c r="C46" s="7"/>
      <c r="D46" s="8"/>
      <c r="E46" s="7"/>
      <c r="F46" s="9"/>
      <c r="G46" s="7"/>
      <c r="H46" s="9"/>
      <c r="I46" s="7"/>
      <c r="J46" s="9"/>
      <c r="K46" s="7"/>
      <c r="L46" s="9"/>
      <c r="M46" s="7"/>
      <c r="N46" s="9"/>
      <c r="O46" s="7"/>
      <c r="P46" s="9"/>
      <c r="Q46" s="7"/>
      <c r="R46" s="7"/>
      <c r="S46" s="10"/>
      <c r="T46" s="10"/>
    </row>
    <row r="47" spans="1:20" x14ac:dyDescent="0.15">
      <c r="A47" s="26"/>
      <c r="B47" s="11" t="s">
        <v>17</v>
      </c>
      <c r="C47" s="12"/>
      <c r="D47" s="13"/>
      <c r="E47" s="12"/>
      <c r="F47" s="14"/>
      <c r="G47" s="12"/>
      <c r="H47" s="14"/>
      <c r="I47" s="12"/>
      <c r="J47" s="14"/>
      <c r="K47" s="12"/>
      <c r="L47" s="14"/>
      <c r="M47" s="12"/>
      <c r="N47" s="14"/>
      <c r="O47" s="12"/>
      <c r="P47" s="14"/>
      <c r="Q47" s="12"/>
      <c r="R47" s="12"/>
      <c r="S47" s="10"/>
      <c r="T47" s="10"/>
    </row>
    <row r="48" spans="1:20" x14ac:dyDescent="0.15">
      <c r="A48" s="26"/>
      <c r="B48" s="11" t="s">
        <v>18</v>
      </c>
      <c r="C48" s="12"/>
      <c r="D48" s="13"/>
      <c r="E48" s="12"/>
      <c r="F48" s="14"/>
      <c r="G48" s="12"/>
      <c r="H48" s="14"/>
      <c r="I48" s="12"/>
      <c r="J48" s="14"/>
      <c r="K48" s="12"/>
      <c r="L48" s="14"/>
      <c r="M48" s="12"/>
      <c r="N48" s="14"/>
      <c r="O48" s="12"/>
      <c r="P48" s="14"/>
      <c r="Q48" s="12"/>
      <c r="R48" s="12"/>
      <c r="S48" s="10"/>
      <c r="T48" s="10"/>
    </row>
    <row r="49" spans="1:20" x14ac:dyDescent="0.15">
      <c r="A49" s="26"/>
      <c r="B49" s="11" t="s">
        <v>19</v>
      </c>
      <c r="C49" s="12"/>
      <c r="D49" s="13"/>
      <c r="E49" s="12"/>
      <c r="F49" s="14"/>
      <c r="G49" s="12"/>
      <c r="H49" s="14"/>
      <c r="I49" s="12"/>
      <c r="J49" s="14"/>
      <c r="K49" s="12"/>
      <c r="L49" s="14"/>
      <c r="M49" s="12"/>
      <c r="N49" s="14"/>
      <c r="O49" s="12"/>
      <c r="P49" s="14"/>
      <c r="Q49" s="12"/>
      <c r="R49" s="12"/>
      <c r="S49" s="10"/>
      <c r="T49" s="10"/>
    </row>
    <row r="50" spans="1:20" x14ac:dyDescent="0.15">
      <c r="A50" s="27"/>
      <c r="B50" s="11" t="s">
        <v>20</v>
      </c>
      <c r="C50" s="12"/>
      <c r="D50" s="13"/>
      <c r="E50" s="12"/>
      <c r="F50" s="14"/>
      <c r="G50" s="12"/>
      <c r="H50" s="14"/>
      <c r="I50" s="12"/>
      <c r="J50" s="14"/>
      <c r="K50" s="12"/>
      <c r="L50" s="14"/>
      <c r="M50" s="12"/>
      <c r="N50" s="14"/>
      <c r="O50" s="12"/>
      <c r="P50" s="14"/>
      <c r="Q50" s="12"/>
      <c r="R50" s="12"/>
      <c r="S50" s="10"/>
      <c r="T50" s="10"/>
    </row>
    <row r="51" spans="1:20" x14ac:dyDescent="0.15">
      <c r="A51" s="25" t="s">
        <v>29</v>
      </c>
      <c r="B51" s="6" t="s">
        <v>16</v>
      </c>
      <c r="C51" s="7"/>
      <c r="D51" s="8"/>
      <c r="E51" s="7"/>
      <c r="F51" s="9"/>
      <c r="G51" s="7"/>
      <c r="H51" s="9"/>
      <c r="I51" s="7"/>
      <c r="J51" s="9"/>
      <c r="K51" s="7"/>
      <c r="L51" s="9"/>
      <c r="M51" s="7"/>
      <c r="N51" s="9"/>
      <c r="O51" s="7"/>
      <c r="P51" s="9"/>
      <c r="Q51" s="7"/>
      <c r="R51" s="7"/>
      <c r="S51" s="10"/>
      <c r="T51" s="10"/>
    </row>
    <row r="52" spans="1:20" x14ac:dyDescent="0.15">
      <c r="A52" s="26"/>
      <c r="B52" s="11" t="s">
        <v>17</v>
      </c>
      <c r="C52" s="12"/>
      <c r="D52" s="13"/>
      <c r="E52" s="12"/>
      <c r="F52" s="14"/>
      <c r="G52" s="12"/>
      <c r="H52" s="14"/>
      <c r="I52" s="12"/>
      <c r="J52" s="14"/>
      <c r="K52" s="12"/>
      <c r="L52" s="14"/>
      <c r="M52" s="12"/>
      <c r="N52" s="14"/>
      <c r="O52" s="12"/>
      <c r="P52" s="14"/>
      <c r="Q52" s="12"/>
      <c r="R52" s="12"/>
      <c r="S52" s="10"/>
      <c r="T52" s="10"/>
    </row>
    <row r="53" spans="1:20" x14ac:dyDescent="0.15">
      <c r="A53" s="26"/>
      <c r="B53" s="11" t="s">
        <v>18</v>
      </c>
      <c r="C53" s="12"/>
      <c r="D53" s="13"/>
      <c r="E53" s="12"/>
      <c r="F53" s="14"/>
      <c r="G53" s="12"/>
      <c r="H53" s="14"/>
      <c r="I53" s="12"/>
      <c r="J53" s="14"/>
      <c r="K53" s="12"/>
      <c r="L53" s="14"/>
      <c r="M53" s="12"/>
      <c r="N53" s="14"/>
      <c r="O53" s="12"/>
      <c r="P53" s="14"/>
      <c r="Q53" s="12"/>
      <c r="R53" s="12"/>
      <c r="S53" s="10"/>
      <c r="T53" s="10"/>
    </row>
    <row r="54" spans="1:20" x14ac:dyDescent="0.15">
      <c r="A54" s="26"/>
      <c r="B54" s="11" t="s">
        <v>19</v>
      </c>
      <c r="C54" s="12"/>
      <c r="D54" s="13"/>
      <c r="E54" s="12"/>
      <c r="F54" s="14"/>
      <c r="G54" s="12"/>
      <c r="H54" s="14"/>
      <c r="I54" s="12"/>
      <c r="J54" s="14"/>
      <c r="K54" s="12"/>
      <c r="L54" s="14"/>
      <c r="M54" s="12"/>
      <c r="N54" s="14"/>
      <c r="O54" s="12"/>
      <c r="P54" s="14"/>
      <c r="Q54" s="12"/>
      <c r="R54" s="12"/>
      <c r="S54" s="10"/>
      <c r="T54" s="10"/>
    </row>
    <row r="55" spans="1:20" x14ac:dyDescent="0.15">
      <c r="A55" s="27"/>
      <c r="B55" s="11" t="s">
        <v>20</v>
      </c>
      <c r="C55" s="12"/>
      <c r="D55" s="13"/>
      <c r="E55" s="12"/>
      <c r="F55" s="14"/>
      <c r="G55" s="12"/>
      <c r="H55" s="14"/>
      <c r="I55" s="12"/>
      <c r="J55" s="14"/>
      <c r="K55" s="12"/>
      <c r="L55" s="14"/>
      <c r="M55" s="12"/>
      <c r="N55" s="14"/>
      <c r="O55" s="12"/>
      <c r="P55" s="14"/>
      <c r="Q55" s="12"/>
      <c r="R55" s="12"/>
      <c r="S55" s="10"/>
      <c r="T55" s="10"/>
    </row>
    <row r="56" spans="1:20" x14ac:dyDescent="0.15">
      <c r="A56" s="25" t="s">
        <v>30</v>
      </c>
      <c r="B56" s="6" t="s">
        <v>16</v>
      </c>
      <c r="C56" s="7"/>
      <c r="D56" s="8"/>
      <c r="E56" s="7"/>
      <c r="F56" s="9"/>
      <c r="G56" s="7"/>
      <c r="H56" s="9"/>
      <c r="I56" s="7"/>
      <c r="J56" s="9"/>
      <c r="K56" s="7"/>
      <c r="L56" s="9"/>
      <c r="M56" s="7"/>
      <c r="N56" s="9"/>
      <c r="O56" s="7"/>
      <c r="P56" s="9"/>
      <c r="Q56" s="7"/>
      <c r="R56" s="7"/>
      <c r="S56" s="10"/>
      <c r="T56" s="10"/>
    </row>
    <row r="57" spans="1:20" x14ac:dyDescent="0.15">
      <c r="A57" s="26"/>
      <c r="B57" s="11" t="s">
        <v>17</v>
      </c>
      <c r="C57" s="12"/>
      <c r="D57" s="13"/>
      <c r="E57" s="12"/>
      <c r="F57" s="14"/>
      <c r="G57" s="12"/>
      <c r="H57" s="14"/>
      <c r="I57" s="12"/>
      <c r="J57" s="14"/>
      <c r="K57" s="12"/>
      <c r="L57" s="14"/>
      <c r="M57" s="12"/>
      <c r="N57" s="14"/>
      <c r="O57" s="12"/>
      <c r="P57" s="14"/>
      <c r="Q57" s="12"/>
      <c r="R57" s="12"/>
      <c r="S57" s="10"/>
      <c r="T57" s="10"/>
    </row>
    <row r="58" spans="1:20" x14ac:dyDescent="0.15">
      <c r="A58" s="26"/>
      <c r="B58" s="11" t="s">
        <v>18</v>
      </c>
      <c r="C58" s="12"/>
      <c r="D58" s="13"/>
      <c r="E58" s="12"/>
      <c r="F58" s="14"/>
      <c r="G58" s="12"/>
      <c r="H58" s="14"/>
      <c r="I58" s="12"/>
      <c r="J58" s="14"/>
      <c r="K58" s="12"/>
      <c r="L58" s="14"/>
      <c r="M58" s="12"/>
      <c r="N58" s="14"/>
      <c r="O58" s="12"/>
      <c r="P58" s="14"/>
      <c r="Q58" s="12"/>
      <c r="R58" s="12"/>
      <c r="S58" s="10"/>
      <c r="T58" s="10"/>
    </row>
    <row r="59" spans="1:20" x14ac:dyDescent="0.15">
      <c r="A59" s="26"/>
      <c r="B59" s="11" t="s">
        <v>19</v>
      </c>
      <c r="C59" s="12"/>
      <c r="D59" s="13"/>
      <c r="E59" s="12"/>
      <c r="F59" s="14"/>
      <c r="G59" s="12"/>
      <c r="H59" s="14"/>
      <c r="I59" s="12"/>
      <c r="J59" s="14"/>
      <c r="K59" s="12"/>
      <c r="L59" s="14"/>
      <c r="M59" s="12"/>
      <c r="N59" s="14"/>
      <c r="O59" s="12"/>
      <c r="P59" s="14"/>
      <c r="Q59" s="12"/>
      <c r="R59" s="12"/>
      <c r="S59" s="10"/>
      <c r="T59" s="10"/>
    </row>
    <row r="60" spans="1:20" x14ac:dyDescent="0.15">
      <c r="A60" s="27"/>
      <c r="B60" s="15" t="s">
        <v>20</v>
      </c>
      <c r="C60" s="16"/>
      <c r="D60" s="17"/>
      <c r="E60" s="16"/>
      <c r="F60" s="18"/>
      <c r="G60" s="16"/>
      <c r="H60" s="18"/>
      <c r="I60" s="16"/>
      <c r="J60" s="18"/>
      <c r="K60" s="16"/>
      <c r="L60" s="18"/>
      <c r="M60" s="16"/>
      <c r="N60" s="18"/>
      <c r="O60" s="16"/>
      <c r="P60" s="18"/>
      <c r="Q60" s="16"/>
      <c r="R60" s="16"/>
      <c r="S60" s="10"/>
      <c r="T60" s="10"/>
    </row>
    <row r="61" spans="1:20" x14ac:dyDescent="0.15">
      <c r="A61" s="25" t="s">
        <v>31</v>
      </c>
      <c r="B61" s="6" t="s">
        <v>16</v>
      </c>
      <c r="C61" s="7"/>
      <c r="D61" s="8"/>
      <c r="E61" s="7"/>
      <c r="F61" s="9"/>
      <c r="G61" s="7"/>
      <c r="H61" s="9"/>
      <c r="I61" s="7"/>
      <c r="J61" s="9"/>
      <c r="K61" s="7"/>
      <c r="L61" s="9"/>
      <c r="M61" s="7"/>
      <c r="N61" s="9"/>
      <c r="O61" s="7"/>
      <c r="P61" s="9"/>
      <c r="Q61" s="7"/>
      <c r="R61" s="7"/>
      <c r="S61" s="10"/>
      <c r="T61" s="10"/>
    </row>
    <row r="62" spans="1:20" x14ac:dyDescent="0.15">
      <c r="A62" s="26"/>
      <c r="B62" s="11" t="s">
        <v>17</v>
      </c>
      <c r="C62" s="12"/>
      <c r="D62" s="13"/>
      <c r="E62" s="12"/>
      <c r="F62" s="14"/>
      <c r="G62" s="12"/>
      <c r="H62" s="14"/>
      <c r="I62" s="12"/>
      <c r="J62" s="14"/>
      <c r="K62" s="12"/>
      <c r="L62" s="14"/>
      <c r="M62" s="12"/>
      <c r="N62" s="14"/>
      <c r="O62" s="12"/>
      <c r="P62" s="14"/>
      <c r="Q62" s="12"/>
      <c r="R62" s="12"/>
      <c r="S62" s="10"/>
      <c r="T62" s="10"/>
    </row>
    <row r="63" spans="1:20" x14ac:dyDescent="0.15">
      <c r="A63" s="26"/>
      <c r="B63" s="11" t="s">
        <v>18</v>
      </c>
      <c r="C63" s="12"/>
      <c r="D63" s="13"/>
      <c r="E63" s="12"/>
      <c r="F63" s="14"/>
      <c r="G63" s="12"/>
      <c r="H63" s="14"/>
      <c r="I63" s="12"/>
      <c r="J63" s="14"/>
      <c r="K63" s="12"/>
      <c r="L63" s="14"/>
      <c r="M63" s="12"/>
      <c r="N63" s="14"/>
      <c r="O63" s="12"/>
      <c r="P63" s="14"/>
      <c r="Q63" s="12"/>
      <c r="R63" s="12"/>
      <c r="S63" s="10"/>
      <c r="T63" s="10"/>
    </row>
    <row r="64" spans="1:20" x14ac:dyDescent="0.15">
      <c r="A64" s="26"/>
      <c r="B64" s="11" t="s">
        <v>19</v>
      </c>
      <c r="C64" s="12"/>
      <c r="D64" s="13"/>
      <c r="E64" s="12"/>
      <c r="F64" s="14"/>
      <c r="G64" s="12"/>
      <c r="H64" s="14"/>
      <c r="I64" s="12"/>
      <c r="J64" s="14"/>
      <c r="K64" s="12"/>
      <c r="L64" s="14"/>
      <c r="M64" s="12"/>
      <c r="N64" s="14"/>
      <c r="O64" s="12"/>
      <c r="P64" s="14"/>
      <c r="Q64" s="12"/>
      <c r="R64" s="12"/>
      <c r="S64" s="10"/>
      <c r="T64" s="10"/>
    </row>
    <row r="65" spans="1:20" x14ac:dyDescent="0.15">
      <c r="A65" s="27"/>
      <c r="B65" s="11" t="s">
        <v>20</v>
      </c>
      <c r="C65" s="12"/>
      <c r="D65" s="13"/>
      <c r="E65" s="12"/>
      <c r="F65" s="14"/>
      <c r="G65" s="12"/>
      <c r="H65" s="14"/>
      <c r="I65" s="12"/>
      <c r="J65" s="14"/>
      <c r="K65" s="12"/>
      <c r="L65" s="14"/>
      <c r="M65" s="12"/>
      <c r="N65" s="14"/>
      <c r="O65" s="12"/>
      <c r="P65" s="14"/>
      <c r="Q65" s="12"/>
      <c r="R65" s="12"/>
      <c r="S65" s="10"/>
      <c r="T65" s="10"/>
    </row>
    <row r="66" spans="1:20" x14ac:dyDescent="0.15">
      <c r="A66" s="25" t="s">
        <v>32</v>
      </c>
      <c r="B66" s="6" t="s">
        <v>16</v>
      </c>
      <c r="C66" s="7"/>
      <c r="D66" s="8"/>
      <c r="E66" s="7"/>
      <c r="F66" s="9"/>
      <c r="G66" s="7"/>
      <c r="H66" s="9"/>
      <c r="I66" s="7"/>
      <c r="J66" s="9"/>
      <c r="K66" s="7"/>
      <c r="L66" s="9"/>
      <c r="M66" s="7"/>
      <c r="N66" s="9"/>
      <c r="O66" s="7"/>
      <c r="P66" s="9"/>
      <c r="Q66" s="7"/>
      <c r="R66" s="7"/>
      <c r="S66" s="10"/>
      <c r="T66" s="10"/>
    </row>
    <row r="67" spans="1:20" x14ac:dyDescent="0.15">
      <c r="A67" s="26"/>
      <c r="B67" s="11" t="s">
        <v>17</v>
      </c>
      <c r="C67" s="12"/>
      <c r="D67" s="13"/>
      <c r="E67" s="12"/>
      <c r="F67" s="14"/>
      <c r="G67" s="12"/>
      <c r="H67" s="14"/>
      <c r="I67" s="12"/>
      <c r="J67" s="14"/>
      <c r="K67" s="12"/>
      <c r="L67" s="14"/>
      <c r="M67" s="12"/>
      <c r="N67" s="14"/>
      <c r="O67" s="12"/>
      <c r="P67" s="14"/>
      <c r="Q67" s="12"/>
      <c r="R67" s="12"/>
      <c r="S67" s="10"/>
      <c r="T67" s="10"/>
    </row>
    <row r="68" spans="1:20" x14ac:dyDescent="0.15">
      <c r="A68" s="26"/>
      <c r="B68" s="11" t="s">
        <v>18</v>
      </c>
      <c r="C68" s="12"/>
      <c r="D68" s="13"/>
      <c r="E68" s="12"/>
      <c r="F68" s="14"/>
      <c r="G68" s="12"/>
      <c r="H68" s="14"/>
      <c r="I68" s="12"/>
      <c r="J68" s="14"/>
      <c r="K68" s="12"/>
      <c r="L68" s="14"/>
      <c r="M68" s="12"/>
      <c r="N68" s="14"/>
      <c r="O68" s="12"/>
      <c r="P68" s="14"/>
      <c r="Q68" s="12"/>
      <c r="R68" s="12"/>
      <c r="S68" s="10"/>
      <c r="T68" s="10"/>
    </row>
    <row r="69" spans="1:20" x14ac:dyDescent="0.15">
      <c r="A69" s="26"/>
      <c r="B69" s="11" t="s">
        <v>19</v>
      </c>
      <c r="C69" s="12"/>
      <c r="D69" s="13"/>
      <c r="E69" s="12"/>
      <c r="F69" s="14"/>
      <c r="G69" s="12"/>
      <c r="H69" s="14"/>
      <c r="I69" s="12"/>
      <c r="J69" s="14"/>
      <c r="K69" s="12"/>
      <c r="L69" s="14"/>
      <c r="M69" s="12"/>
      <c r="N69" s="14"/>
      <c r="O69" s="12"/>
      <c r="P69" s="14"/>
      <c r="Q69" s="12"/>
      <c r="R69" s="12"/>
      <c r="S69" s="10"/>
      <c r="T69" s="10"/>
    </row>
    <row r="70" spans="1:20" x14ac:dyDescent="0.15">
      <c r="A70" s="27"/>
      <c r="B70" s="11" t="s">
        <v>20</v>
      </c>
      <c r="C70" s="12"/>
      <c r="D70" s="13"/>
      <c r="E70" s="12"/>
      <c r="F70" s="14"/>
      <c r="G70" s="12"/>
      <c r="H70" s="14"/>
      <c r="I70" s="12"/>
      <c r="J70" s="14"/>
      <c r="K70" s="12"/>
      <c r="L70" s="14"/>
      <c r="M70" s="12"/>
      <c r="N70" s="14"/>
      <c r="O70" s="12"/>
      <c r="P70" s="14"/>
      <c r="Q70" s="12"/>
      <c r="R70" s="12"/>
      <c r="S70" s="10"/>
      <c r="T70" s="10"/>
    </row>
    <row r="71" spans="1:20" x14ac:dyDescent="0.15">
      <c r="A71" s="25" t="s">
        <v>33</v>
      </c>
      <c r="B71" s="6" t="s">
        <v>16</v>
      </c>
      <c r="C71" s="7"/>
      <c r="D71" s="8"/>
      <c r="E71" s="7"/>
      <c r="F71" s="9"/>
      <c r="G71" s="7"/>
      <c r="H71" s="9"/>
      <c r="I71" s="7"/>
      <c r="J71" s="9"/>
      <c r="K71" s="7"/>
      <c r="L71" s="9"/>
      <c r="M71" s="7"/>
      <c r="N71" s="9"/>
      <c r="O71" s="7"/>
      <c r="P71" s="9"/>
      <c r="Q71" s="7"/>
      <c r="R71" s="7"/>
      <c r="S71" s="10"/>
      <c r="T71" s="10"/>
    </row>
    <row r="72" spans="1:20" x14ac:dyDescent="0.15">
      <c r="A72" s="26"/>
      <c r="B72" s="11" t="s">
        <v>17</v>
      </c>
      <c r="C72" s="12"/>
      <c r="D72" s="13"/>
      <c r="E72" s="12"/>
      <c r="F72" s="14"/>
      <c r="G72" s="12"/>
      <c r="H72" s="14"/>
      <c r="I72" s="12"/>
      <c r="J72" s="14"/>
      <c r="K72" s="12"/>
      <c r="L72" s="14"/>
      <c r="M72" s="12"/>
      <c r="N72" s="14"/>
      <c r="O72" s="12"/>
      <c r="P72" s="14"/>
      <c r="Q72" s="12"/>
      <c r="R72" s="12"/>
      <c r="S72" s="10"/>
      <c r="T72" s="10"/>
    </row>
    <row r="73" spans="1:20" x14ac:dyDescent="0.15">
      <c r="A73" s="26"/>
      <c r="B73" s="11" t="s">
        <v>18</v>
      </c>
      <c r="C73" s="12"/>
      <c r="D73" s="13"/>
      <c r="E73" s="12"/>
      <c r="F73" s="14"/>
      <c r="G73" s="12"/>
      <c r="H73" s="14"/>
      <c r="I73" s="12"/>
      <c r="J73" s="14"/>
      <c r="K73" s="12"/>
      <c r="L73" s="14"/>
      <c r="M73" s="12"/>
      <c r="N73" s="14"/>
      <c r="O73" s="12"/>
      <c r="P73" s="14"/>
      <c r="Q73" s="12"/>
      <c r="R73" s="12"/>
      <c r="S73" s="10"/>
      <c r="T73" s="10"/>
    </row>
    <row r="74" spans="1:20" x14ac:dyDescent="0.15">
      <c r="A74" s="26"/>
      <c r="B74" s="11" t="s">
        <v>19</v>
      </c>
      <c r="C74" s="12"/>
      <c r="D74" s="13"/>
      <c r="E74" s="12"/>
      <c r="F74" s="14"/>
      <c r="G74" s="12"/>
      <c r="H74" s="14"/>
      <c r="I74" s="12"/>
      <c r="J74" s="14"/>
      <c r="K74" s="12"/>
      <c r="L74" s="14"/>
      <c r="M74" s="12"/>
      <c r="N74" s="14"/>
      <c r="O74" s="12"/>
      <c r="P74" s="14"/>
      <c r="Q74" s="12"/>
      <c r="R74" s="12"/>
      <c r="S74" s="10"/>
      <c r="T74" s="10"/>
    </row>
    <row r="75" spans="1:20" x14ac:dyDescent="0.15">
      <c r="A75" s="27"/>
      <c r="B75" s="11" t="s">
        <v>20</v>
      </c>
      <c r="C75" s="12"/>
      <c r="D75" s="13"/>
      <c r="E75" s="12"/>
      <c r="F75" s="14"/>
      <c r="G75" s="12"/>
      <c r="H75" s="14"/>
      <c r="I75" s="12"/>
      <c r="J75" s="14"/>
      <c r="K75" s="12"/>
      <c r="L75" s="14"/>
      <c r="M75" s="12"/>
      <c r="N75" s="14"/>
      <c r="O75" s="12"/>
      <c r="P75" s="14"/>
      <c r="Q75" s="12"/>
      <c r="R75" s="12"/>
      <c r="S75" s="10"/>
      <c r="T75" s="10"/>
    </row>
    <row r="76" spans="1:20" x14ac:dyDescent="0.15">
      <c r="A76" s="25" t="s">
        <v>34</v>
      </c>
      <c r="B76" s="6" t="s">
        <v>16</v>
      </c>
      <c r="C76" s="7"/>
      <c r="D76" s="8"/>
      <c r="E76" s="7"/>
      <c r="F76" s="9"/>
      <c r="G76" s="7"/>
      <c r="H76" s="9"/>
      <c r="I76" s="7"/>
      <c r="J76" s="9"/>
      <c r="K76" s="7"/>
      <c r="L76" s="9"/>
      <c r="M76" s="7"/>
      <c r="N76" s="9"/>
      <c r="O76" s="7"/>
      <c r="P76" s="9"/>
      <c r="Q76" s="7"/>
      <c r="R76" s="7"/>
      <c r="S76" s="10"/>
      <c r="T76" s="10"/>
    </row>
    <row r="77" spans="1:20" x14ac:dyDescent="0.15">
      <c r="A77" s="26"/>
      <c r="B77" s="11" t="s">
        <v>17</v>
      </c>
      <c r="C77" s="12"/>
      <c r="D77" s="13"/>
      <c r="E77" s="12"/>
      <c r="F77" s="14"/>
      <c r="G77" s="12"/>
      <c r="H77" s="14"/>
      <c r="I77" s="12"/>
      <c r="J77" s="14"/>
      <c r="K77" s="12"/>
      <c r="L77" s="14"/>
      <c r="M77" s="12"/>
      <c r="N77" s="14"/>
      <c r="O77" s="12"/>
      <c r="P77" s="14"/>
      <c r="Q77" s="12"/>
      <c r="R77" s="12"/>
      <c r="S77" s="10"/>
      <c r="T77" s="10"/>
    </row>
    <row r="78" spans="1:20" x14ac:dyDescent="0.15">
      <c r="A78" s="26"/>
      <c r="B78" s="11" t="s">
        <v>18</v>
      </c>
      <c r="C78" s="12"/>
      <c r="D78" s="13"/>
      <c r="E78" s="12"/>
      <c r="F78" s="14"/>
      <c r="G78" s="12"/>
      <c r="H78" s="14"/>
      <c r="I78" s="12"/>
      <c r="J78" s="14"/>
      <c r="K78" s="12"/>
      <c r="L78" s="14"/>
      <c r="M78" s="12"/>
      <c r="N78" s="14"/>
      <c r="O78" s="12"/>
      <c r="P78" s="14"/>
      <c r="Q78" s="12"/>
      <c r="R78" s="12"/>
      <c r="S78" s="10"/>
      <c r="T78" s="10"/>
    </row>
    <row r="79" spans="1:20" x14ac:dyDescent="0.15">
      <c r="A79" s="26"/>
      <c r="B79" s="11" t="s">
        <v>19</v>
      </c>
      <c r="C79" s="12"/>
      <c r="D79" s="13"/>
      <c r="E79" s="12"/>
      <c r="F79" s="14"/>
      <c r="G79" s="12"/>
      <c r="H79" s="14"/>
      <c r="I79" s="12"/>
      <c r="J79" s="14"/>
      <c r="K79" s="12"/>
      <c r="L79" s="14"/>
      <c r="M79" s="12"/>
      <c r="N79" s="14"/>
      <c r="O79" s="12"/>
      <c r="P79" s="14"/>
      <c r="Q79" s="12"/>
      <c r="R79" s="12"/>
      <c r="S79" s="10"/>
      <c r="T79" s="10"/>
    </row>
    <row r="80" spans="1:20" x14ac:dyDescent="0.15">
      <c r="A80" s="27"/>
      <c r="B80" s="15" t="s">
        <v>20</v>
      </c>
      <c r="C80" s="16"/>
      <c r="D80" s="17"/>
      <c r="E80" s="16"/>
      <c r="F80" s="18"/>
      <c r="G80" s="16"/>
      <c r="H80" s="18"/>
      <c r="I80" s="16"/>
      <c r="J80" s="18"/>
      <c r="K80" s="16"/>
      <c r="L80" s="18"/>
      <c r="M80" s="16"/>
      <c r="N80" s="18"/>
      <c r="O80" s="16"/>
      <c r="P80" s="18"/>
      <c r="Q80" s="16"/>
      <c r="R80" s="16"/>
      <c r="S80" s="10"/>
      <c r="T80" s="10"/>
    </row>
    <row r="81" spans="1:20" x14ac:dyDescent="0.15">
      <c r="A81" s="25" t="s">
        <v>35</v>
      </c>
      <c r="B81" s="6" t="s">
        <v>16</v>
      </c>
      <c r="C81" s="7"/>
      <c r="D81" s="8"/>
      <c r="E81" s="7"/>
      <c r="F81" s="9"/>
      <c r="G81" s="7"/>
      <c r="H81" s="9"/>
      <c r="I81" s="7"/>
      <c r="J81" s="9"/>
      <c r="K81" s="7"/>
      <c r="L81" s="9"/>
      <c r="M81" s="7"/>
      <c r="N81" s="9"/>
      <c r="O81" s="7"/>
      <c r="P81" s="9"/>
      <c r="Q81" s="7"/>
      <c r="R81" s="7"/>
      <c r="S81" s="10"/>
      <c r="T81" s="10"/>
    </row>
    <row r="82" spans="1:20" x14ac:dyDescent="0.15">
      <c r="A82" s="26"/>
      <c r="B82" s="11" t="s">
        <v>17</v>
      </c>
      <c r="C82" s="12"/>
      <c r="D82" s="13"/>
      <c r="E82" s="12"/>
      <c r="F82" s="14"/>
      <c r="G82" s="12"/>
      <c r="H82" s="14"/>
      <c r="I82" s="12"/>
      <c r="J82" s="14"/>
      <c r="K82" s="12"/>
      <c r="L82" s="14"/>
      <c r="M82" s="12"/>
      <c r="N82" s="14"/>
      <c r="O82" s="12"/>
      <c r="P82" s="14"/>
      <c r="Q82" s="12"/>
      <c r="R82" s="12"/>
      <c r="S82" s="10"/>
      <c r="T82" s="10"/>
    </row>
    <row r="83" spans="1:20" x14ac:dyDescent="0.15">
      <c r="A83" s="26"/>
      <c r="B83" s="11" t="s">
        <v>18</v>
      </c>
      <c r="C83" s="12"/>
      <c r="D83" s="13"/>
      <c r="E83" s="12"/>
      <c r="F83" s="14"/>
      <c r="G83" s="12"/>
      <c r="H83" s="14"/>
      <c r="I83" s="12"/>
      <c r="J83" s="14"/>
      <c r="K83" s="12"/>
      <c r="L83" s="14"/>
      <c r="M83" s="12"/>
      <c r="N83" s="14"/>
      <c r="O83" s="12"/>
      <c r="P83" s="14"/>
      <c r="Q83" s="12"/>
      <c r="R83" s="12"/>
      <c r="S83" s="10"/>
      <c r="T83" s="10"/>
    </row>
    <row r="84" spans="1:20" x14ac:dyDescent="0.15">
      <c r="A84" s="26"/>
      <c r="B84" s="11" t="s">
        <v>19</v>
      </c>
      <c r="C84" s="12"/>
      <c r="D84" s="13"/>
      <c r="E84" s="12"/>
      <c r="F84" s="14"/>
      <c r="G84" s="12"/>
      <c r="H84" s="14"/>
      <c r="I84" s="12"/>
      <c r="J84" s="14"/>
      <c r="K84" s="12"/>
      <c r="L84" s="14"/>
      <c r="M84" s="12"/>
      <c r="N84" s="14"/>
      <c r="O84" s="12"/>
      <c r="P84" s="14"/>
      <c r="Q84" s="12"/>
      <c r="R84" s="12"/>
      <c r="S84" s="10"/>
      <c r="T84" s="10"/>
    </row>
    <row r="85" spans="1:20" x14ac:dyDescent="0.15">
      <c r="A85" s="27"/>
      <c r="B85" s="11" t="s">
        <v>20</v>
      </c>
      <c r="C85" s="12"/>
      <c r="D85" s="13"/>
      <c r="E85" s="12"/>
      <c r="F85" s="14"/>
      <c r="G85" s="12"/>
      <c r="H85" s="14"/>
      <c r="I85" s="12"/>
      <c r="J85" s="14"/>
      <c r="K85" s="12"/>
      <c r="L85" s="14"/>
      <c r="M85" s="12"/>
      <c r="N85" s="14"/>
      <c r="O85" s="12"/>
      <c r="P85" s="14"/>
      <c r="Q85" s="12"/>
      <c r="R85" s="12"/>
      <c r="S85" s="10"/>
      <c r="T85" s="10"/>
    </row>
    <row r="86" spans="1:20" x14ac:dyDescent="0.15">
      <c r="A86" s="25" t="s">
        <v>36</v>
      </c>
      <c r="B86" s="6" t="s">
        <v>16</v>
      </c>
      <c r="C86" s="7"/>
      <c r="D86" s="8"/>
      <c r="E86" s="7"/>
      <c r="F86" s="9"/>
      <c r="G86" s="7"/>
      <c r="H86" s="9"/>
      <c r="I86" s="7"/>
      <c r="J86" s="9"/>
      <c r="K86" s="7"/>
      <c r="L86" s="9"/>
      <c r="M86" s="7"/>
      <c r="N86" s="9"/>
      <c r="O86" s="7"/>
      <c r="P86" s="9"/>
      <c r="Q86" s="7"/>
      <c r="R86" s="7"/>
      <c r="S86" s="10"/>
      <c r="T86" s="10"/>
    </row>
    <row r="87" spans="1:20" x14ac:dyDescent="0.15">
      <c r="A87" s="26"/>
      <c r="B87" s="11" t="s">
        <v>17</v>
      </c>
      <c r="C87" s="12"/>
      <c r="D87" s="13"/>
      <c r="E87" s="12"/>
      <c r="F87" s="14"/>
      <c r="G87" s="12"/>
      <c r="H87" s="14"/>
      <c r="I87" s="12"/>
      <c r="J87" s="14"/>
      <c r="K87" s="12"/>
      <c r="L87" s="14"/>
      <c r="M87" s="12"/>
      <c r="N87" s="14"/>
      <c r="O87" s="12"/>
      <c r="P87" s="14"/>
      <c r="Q87" s="12"/>
      <c r="R87" s="12"/>
      <c r="S87" s="10"/>
      <c r="T87" s="10"/>
    </row>
    <row r="88" spans="1:20" x14ac:dyDescent="0.15">
      <c r="A88" s="26"/>
      <c r="B88" s="11" t="s">
        <v>18</v>
      </c>
      <c r="C88" s="12"/>
      <c r="D88" s="13"/>
      <c r="E88" s="12"/>
      <c r="F88" s="14"/>
      <c r="G88" s="12"/>
      <c r="H88" s="14"/>
      <c r="I88" s="12"/>
      <c r="J88" s="14"/>
      <c r="K88" s="12"/>
      <c r="L88" s="14"/>
      <c r="M88" s="12"/>
      <c r="N88" s="14"/>
      <c r="O88" s="12"/>
      <c r="P88" s="14"/>
      <c r="Q88" s="12"/>
      <c r="R88" s="12"/>
      <c r="S88" s="10"/>
      <c r="T88" s="10"/>
    </row>
    <row r="89" spans="1:20" x14ac:dyDescent="0.15">
      <c r="A89" s="26"/>
      <c r="B89" s="11" t="s">
        <v>19</v>
      </c>
      <c r="C89" s="12"/>
      <c r="D89" s="13"/>
      <c r="E89" s="12"/>
      <c r="F89" s="14"/>
      <c r="G89" s="12"/>
      <c r="H89" s="14"/>
      <c r="I89" s="12"/>
      <c r="J89" s="14"/>
      <c r="K89" s="12"/>
      <c r="L89" s="14"/>
      <c r="M89" s="12"/>
      <c r="N89" s="14"/>
      <c r="O89" s="12"/>
      <c r="P89" s="14"/>
      <c r="Q89" s="12"/>
      <c r="R89" s="12"/>
      <c r="S89" s="10"/>
      <c r="T89" s="10"/>
    </row>
    <row r="90" spans="1:20" x14ac:dyDescent="0.15">
      <c r="A90" s="27"/>
      <c r="B90" s="11" t="s">
        <v>20</v>
      </c>
      <c r="C90" s="12"/>
      <c r="D90" s="13"/>
      <c r="E90" s="12"/>
      <c r="F90" s="14"/>
      <c r="G90" s="12"/>
      <c r="H90" s="14"/>
      <c r="I90" s="12"/>
      <c r="J90" s="14"/>
      <c r="K90" s="12"/>
      <c r="L90" s="14"/>
      <c r="M90" s="12"/>
      <c r="N90" s="14"/>
      <c r="O90" s="12"/>
      <c r="P90" s="14"/>
      <c r="Q90" s="12"/>
      <c r="R90" s="12"/>
      <c r="S90" s="10"/>
      <c r="T90" s="10"/>
    </row>
    <row r="91" spans="1:20" x14ac:dyDescent="0.15">
      <c r="A91" s="25" t="s">
        <v>37</v>
      </c>
      <c r="B91" s="6" t="s">
        <v>16</v>
      </c>
      <c r="C91" s="7"/>
      <c r="D91" s="8"/>
      <c r="E91" s="7"/>
      <c r="F91" s="9"/>
      <c r="G91" s="7"/>
      <c r="H91" s="9"/>
      <c r="I91" s="7"/>
      <c r="J91" s="9"/>
      <c r="K91" s="7"/>
      <c r="L91" s="9"/>
      <c r="M91" s="7"/>
      <c r="N91" s="9"/>
      <c r="O91" s="7"/>
      <c r="P91" s="9"/>
      <c r="Q91" s="7"/>
      <c r="R91" s="7"/>
      <c r="S91" s="10"/>
      <c r="T91" s="10"/>
    </row>
    <row r="92" spans="1:20" x14ac:dyDescent="0.15">
      <c r="A92" s="26"/>
      <c r="B92" s="11" t="s">
        <v>17</v>
      </c>
      <c r="C92" s="12"/>
      <c r="D92" s="13"/>
      <c r="E92" s="12"/>
      <c r="F92" s="14"/>
      <c r="G92" s="12"/>
      <c r="H92" s="14"/>
      <c r="I92" s="12"/>
      <c r="J92" s="14"/>
      <c r="K92" s="12"/>
      <c r="L92" s="14"/>
      <c r="M92" s="12"/>
      <c r="N92" s="14"/>
      <c r="O92" s="12"/>
      <c r="P92" s="14"/>
      <c r="Q92" s="12"/>
      <c r="R92" s="12"/>
      <c r="S92" s="10"/>
      <c r="T92" s="10"/>
    </row>
    <row r="93" spans="1:20" x14ac:dyDescent="0.15">
      <c r="A93" s="26"/>
      <c r="B93" s="11" t="s">
        <v>18</v>
      </c>
      <c r="C93" s="12"/>
      <c r="D93" s="13"/>
      <c r="E93" s="12"/>
      <c r="F93" s="14"/>
      <c r="G93" s="12"/>
      <c r="H93" s="14"/>
      <c r="I93" s="12"/>
      <c r="J93" s="14"/>
      <c r="K93" s="12"/>
      <c r="L93" s="14"/>
      <c r="M93" s="12"/>
      <c r="N93" s="14"/>
      <c r="O93" s="12"/>
      <c r="P93" s="14"/>
      <c r="Q93" s="12"/>
      <c r="R93" s="12"/>
      <c r="S93" s="10"/>
      <c r="T93" s="10"/>
    </row>
    <row r="94" spans="1:20" x14ac:dyDescent="0.15">
      <c r="A94" s="26"/>
      <c r="B94" s="11" t="s">
        <v>19</v>
      </c>
      <c r="C94" s="12"/>
      <c r="D94" s="13"/>
      <c r="E94" s="12"/>
      <c r="F94" s="14"/>
      <c r="G94" s="12"/>
      <c r="H94" s="14"/>
      <c r="I94" s="12"/>
      <c r="J94" s="14"/>
      <c r="K94" s="12"/>
      <c r="L94" s="14"/>
      <c r="M94" s="12"/>
      <c r="N94" s="14"/>
      <c r="O94" s="12"/>
      <c r="P94" s="14"/>
      <c r="Q94" s="12"/>
      <c r="R94" s="12"/>
      <c r="S94" s="10"/>
      <c r="T94" s="10"/>
    </row>
    <row r="95" spans="1:20" x14ac:dyDescent="0.15">
      <c r="A95" s="27"/>
      <c r="B95" s="11" t="s">
        <v>20</v>
      </c>
      <c r="C95" s="12"/>
      <c r="D95" s="13"/>
      <c r="E95" s="12"/>
      <c r="F95" s="14"/>
      <c r="G95" s="12"/>
      <c r="H95" s="14"/>
      <c r="I95" s="12"/>
      <c r="J95" s="14"/>
      <c r="K95" s="12"/>
      <c r="L95" s="14"/>
      <c r="M95" s="12"/>
      <c r="N95" s="14"/>
      <c r="O95" s="12"/>
      <c r="P95" s="14"/>
      <c r="Q95" s="12"/>
      <c r="R95" s="12"/>
      <c r="S95" s="10"/>
      <c r="T95" s="10"/>
    </row>
    <row r="96" spans="1:20" x14ac:dyDescent="0.15">
      <c r="A96" s="25" t="s">
        <v>38</v>
      </c>
      <c r="B96" s="6" t="s">
        <v>16</v>
      </c>
      <c r="C96" s="7"/>
      <c r="D96" s="8"/>
      <c r="E96" s="7"/>
      <c r="F96" s="9"/>
      <c r="G96" s="7"/>
      <c r="H96" s="9"/>
      <c r="I96" s="7"/>
      <c r="J96" s="9"/>
      <c r="K96" s="7"/>
      <c r="L96" s="9"/>
      <c r="M96" s="7"/>
      <c r="N96" s="9"/>
      <c r="O96" s="7"/>
      <c r="P96" s="9"/>
      <c r="Q96" s="7"/>
      <c r="R96" s="7"/>
      <c r="S96" s="10"/>
      <c r="T96" s="10"/>
    </row>
    <row r="97" spans="1:20" x14ac:dyDescent="0.15">
      <c r="A97" s="26"/>
      <c r="B97" s="11" t="s">
        <v>17</v>
      </c>
      <c r="C97" s="12"/>
      <c r="D97" s="13"/>
      <c r="E97" s="12"/>
      <c r="F97" s="14"/>
      <c r="G97" s="12"/>
      <c r="H97" s="14"/>
      <c r="I97" s="12"/>
      <c r="J97" s="14"/>
      <c r="K97" s="12"/>
      <c r="L97" s="14"/>
      <c r="M97" s="12"/>
      <c r="N97" s="14"/>
      <c r="O97" s="12"/>
      <c r="P97" s="14"/>
      <c r="Q97" s="12"/>
      <c r="R97" s="12"/>
      <c r="S97" s="10"/>
      <c r="T97" s="10"/>
    </row>
    <row r="98" spans="1:20" x14ac:dyDescent="0.15">
      <c r="A98" s="26"/>
      <c r="B98" s="11" t="s">
        <v>18</v>
      </c>
      <c r="C98" s="12"/>
      <c r="D98" s="13"/>
      <c r="E98" s="12"/>
      <c r="F98" s="14"/>
      <c r="G98" s="12"/>
      <c r="H98" s="14"/>
      <c r="I98" s="12"/>
      <c r="J98" s="14"/>
      <c r="K98" s="12"/>
      <c r="L98" s="14"/>
      <c r="M98" s="12"/>
      <c r="N98" s="14"/>
      <c r="O98" s="12"/>
      <c r="P98" s="14"/>
      <c r="Q98" s="12"/>
      <c r="R98" s="12"/>
      <c r="S98" s="10"/>
      <c r="T98" s="10"/>
    </row>
    <row r="99" spans="1:20" x14ac:dyDescent="0.15">
      <c r="A99" s="26"/>
      <c r="B99" s="11" t="s">
        <v>19</v>
      </c>
      <c r="C99" s="12"/>
      <c r="D99" s="13"/>
      <c r="E99" s="12"/>
      <c r="F99" s="14"/>
      <c r="G99" s="12"/>
      <c r="H99" s="14"/>
      <c r="I99" s="12"/>
      <c r="J99" s="14"/>
      <c r="K99" s="12"/>
      <c r="L99" s="14"/>
      <c r="M99" s="12"/>
      <c r="N99" s="14"/>
      <c r="O99" s="12"/>
      <c r="P99" s="14"/>
      <c r="Q99" s="12"/>
      <c r="R99" s="12"/>
      <c r="S99" s="10"/>
      <c r="T99" s="10"/>
    </row>
    <row r="100" spans="1:20" x14ac:dyDescent="0.15">
      <c r="A100" s="27"/>
      <c r="B100" s="11" t="s">
        <v>20</v>
      </c>
      <c r="C100" s="12"/>
      <c r="D100" s="13"/>
      <c r="E100" s="12"/>
      <c r="F100" s="14"/>
      <c r="G100" s="12"/>
      <c r="H100" s="14"/>
      <c r="I100" s="12"/>
      <c r="J100" s="14"/>
      <c r="K100" s="12"/>
      <c r="L100" s="14"/>
      <c r="M100" s="12"/>
      <c r="N100" s="14"/>
      <c r="O100" s="12"/>
      <c r="P100" s="14"/>
      <c r="Q100" s="12"/>
      <c r="R100" s="12"/>
      <c r="S100" s="10"/>
      <c r="T100" s="10"/>
    </row>
    <row r="101" spans="1:20" x14ac:dyDescent="0.15">
      <c r="A101" s="25" t="s">
        <v>39</v>
      </c>
      <c r="B101" s="6" t="s">
        <v>16</v>
      </c>
      <c r="C101" s="7"/>
      <c r="D101" s="8"/>
      <c r="E101" s="7"/>
      <c r="F101" s="9"/>
      <c r="G101" s="7"/>
      <c r="H101" s="9"/>
      <c r="I101" s="7"/>
      <c r="J101" s="9"/>
      <c r="K101" s="7"/>
      <c r="L101" s="9"/>
      <c r="M101" s="7"/>
      <c r="N101" s="9"/>
      <c r="O101" s="7"/>
      <c r="P101" s="9"/>
      <c r="Q101" s="7"/>
      <c r="R101" s="7"/>
      <c r="S101" s="10"/>
      <c r="T101" s="10"/>
    </row>
    <row r="102" spans="1:20" x14ac:dyDescent="0.15">
      <c r="A102" s="26"/>
      <c r="B102" s="11" t="s">
        <v>17</v>
      </c>
      <c r="C102" s="12"/>
      <c r="D102" s="13"/>
      <c r="E102" s="12"/>
      <c r="F102" s="14"/>
      <c r="G102" s="12"/>
      <c r="H102" s="14"/>
      <c r="I102" s="12"/>
      <c r="J102" s="14"/>
      <c r="K102" s="12"/>
      <c r="L102" s="14"/>
      <c r="M102" s="12"/>
      <c r="N102" s="14"/>
      <c r="O102" s="12"/>
      <c r="P102" s="14"/>
      <c r="Q102" s="12"/>
      <c r="R102" s="12"/>
      <c r="S102" s="10"/>
      <c r="T102" s="10"/>
    </row>
    <row r="103" spans="1:20" x14ac:dyDescent="0.15">
      <c r="A103" s="26"/>
      <c r="B103" s="11" t="s">
        <v>18</v>
      </c>
      <c r="C103" s="12"/>
      <c r="D103" s="13"/>
      <c r="E103" s="12"/>
      <c r="F103" s="14"/>
      <c r="G103" s="12"/>
      <c r="H103" s="14"/>
      <c r="I103" s="12"/>
      <c r="J103" s="14"/>
      <c r="K103" s="12"/>
      <c r="L103" s="14"/>
      <c r="M103" s="12"/>
      <c r="N103" s="14"/>
      <c r="O103" s="12"/>
      <c r="P103" s="14"/>
      <c r="Q103" s="12"/>
      <c r="R103" s="12"/>
      <c r="S103" s="10"/>
      <c r="T103" s="10"/>
    </row>
    <row r="104" spans="1:20" x14ac:dyDescent="0.15">
      <c r="A104" s="26"/>
      <c r="B104" s="11" t="s">
        <v>19</v>
      </c>
      <c r="C104" s="12"/>
      <c r="D104" s="13"/>
      <c r="E104" s="12"/>
      <c r="F104" s="14"/>
      <c r="G104" s="12"/>
      <c r="H104" s="14"/>
      <c r="I104" s="12"/>
      <c r="J104" s="14"/>
      <c r="K104" s="12"/>
      <c r="L104" s="14"/>
      <c r="M104" s="12"/>
      <c r="N104" s="14"/>
      <c r="O104" s="12"/>
      <c r="P104" s="14"/>
      <c r="Q104" s="12"/>
      <c r="R104" s="12"/>
      <c r="S104" s="10"/>
      <c r="T104" s="10"/>
    </row>
    <row r="105" spans="1:20" x14ac:dyDescent="0.15">
      <c r="A105" s="27"/>
      <c r="B105" s="11" t="s">
        <v>20</v>
      </c>
      <c r="C105" s="12"/>
      <c r="D105" s="13"/>
      <c r="E105" s="12"/>
      <c r="F105" s="14"/>
      <c r="G105" s="12"/>
      <c r="H105" s="14"/>
      <c r="I105" s="12"/>
      <c r="J105" s="14"/>
      <c r="K105" s="12"/>
      <c r="L105" s="14"/>
      <c r="M105" s="12"/>
      <c r="N105" s="14"/>
      <c r="O105" s="12"/>
      <c r="P105" s="14"/>
      <c r="Q105" s="12"/>
      <c r="R105" s="12"/>
      <c r="S105" s="10"/>
      <c r="T105" s="10"/>
    </row>
    <row r="106" spans="1:20" x14ac:dyDescent="0.15">
      <c r="A106" s="25" t="s">
        <v>40</v>
      </c>
      <c r="B106" s="6" t="s">
        <v>16</v>
      </c>
      <c r="C106" s="7"/>
      <c r="D106" s="8"/>
      <c r="E106" s="7"/>
      <c r="F106" s="9"/>
      <c r="G106" s="7"/>
      <c r="H106" s="9"/>
      <c r="I106" s="7"/>
      <c r="J106" s="9"/>
      <c r="K106" s="7"/>
      <c r="L106" s="9"/>
      <c r="M106" s="7"/>
      <c r="N106" s="9"/>
      <c r="O106" s="7"/>
      <c r="P106" s="9"/>
      <c r="Q106" s="7"/>
      <c r="R106" s="7"/>
      <c r="S106" s="10"/>
      <c r="T106" s="10"/>
    </row>
    <row r="107" spans="1:20" x14ac:dyDescent="0.15">
      <c r="A107" s="26"/>
      <c r="B107" s="11" t="s">
        <v>17</v>
      </c>
      <c r="C107" s="12"/>
      <c r="D107" s="13"/>
      <c r="E107" s="12"/>
      <c r="F107" s="14"/>
      <c r="G107" s="12"/>
      <c r="H107" s="14"/>
      <c r="I107" s="12"/>
      <c r="J107" s="14"/>
      <c r="K107" s="12"/>
      <c r="L107" s="14"/>
      <c r="M107" s="12"/>
      <c r="N107" s="14"/>
      <c r="O107" s="12"/>
      <c r="P107" s="14"/>
      <c r="Q107" s="12"/>
      <c r="R107" s="12"/>
      <c r="S107" s="10"/>
      <c r="T107" s="10"/>
    </row>
    <row r="108" spans="1:20" x14ac:dyDescent="0.15">
      <c r="A108" s="26"/>
      <c r="B108" s="11" t="s">
        <v>18</v>
      </c>
      <c r="C108" s="12"/>
      <c r="D108" s="13"/>
      <c r="E108" s="12"/>
      <c r="F108" s="14"/>
      <c r="G108" s="12"/>
      <c r="H108" s="14"/>
      <c r="I108" s="12"/>
      <c r="J108" s="14"/>
      <c r="K108" s="12"/>
      <c r="L108" s="14"/>
      <c r="M108" s="12"/>
      <c r="N108" s="14"/>
      <c r="O108" s="12"/>
      <c r="P108" s="14"/>
      <c r="Q108" s="12"/>
      <c r="R108" s="12"/>
      <c r="S108" s="10"/>
      <c r="T108" s="10"/>
    </row>
    <row r="109" spans="1:20" x14ac:dyDescent="0.15">
      <c r="A109" s="26"/>
      <c r="B109" s="11" t="s">
        <v>19</v>
      </c>
      <c r="C109" s="12"/>
      <c r="D109" s="13"/>
      <c r="E109" s="12"/>
      <c r="F109" s="14"/>
      <c r="G109" s="12"/>
      <c r="H109" s="14"/>
      <c r="I109" s="12"/>
      <c r="J109" s="14"/>
      <c r="K109" s="12"/>
      <c r="L109" s="14"/>
      <c r="M109" s="12"/>
      <c r="N109" s="14"/>
      <c r="O109" s="12"/>
      <c r="P109" s="14"/>
      <c r="Q109" s="12"/>
      <c r="R109" s="12"/>
      <c r="S109" s="10"/>
      <c r="T109" s="10"/>
    </row>
    <row r="110" spans="1:20" x14ac:dyDescent="0.15">
      <c r="A110" s="27"/>
      <c r="B110" s="11" t="s">
        <v>20</v>
      </c>
      <c r="C110" s="12"/>
      <c r="D110" s="13"/>
      <c r="E110" s="12"/>
      <c r="F110" s="14"/>
      <c r="G110" s="12"/>
      <c r="H110" s="14"/>
      <c r="I110" s="12"/>
      <c r="J110" s="14"/>
      <c r="K110" s="12"/>
      <c r="L110" s="14"/>
      <c r="M110" s="12"/>
      <c r="N110" s="14"/>
      <c r="O110" s="12"/>
      <c r="P110" s="14"/>
      <c r="Q110" s="12"/>
      <c r="R110" s="12"/>
      <c r="S110" s="10"/>
      <c r="T110" s="10"/>
    </row>
    <row r="111" spans="1:20" x14ac:dyDescent="0.15">
      <c r="A111" s="25" t="s">
        <v>41</v>
      </c>
      <c r="B111" s="6" t="s">
        <v>16</v>
      </c>
      <c r="C111" s="7"/>
      <c r="D111" s="8"/>
      <c r="E111" s="7"/>
      <c r="F111" s="9"/>
      <c r="G111" s="7"/>
      <c r="H111" s="9"/>
      <c r="I111" s="7"/>
      <c r="J111" s="9"/>
      <c r="K111" s="7"/>
      <c r="L111" s="9"/>
      <c r="M111" s="7"/>
      <c r="N111" s="9"/>
      <c r="O111" s="7"/>
      <c r="P111" s="9"/>
      <c r="Q111" s="7"/>
      <c r="R111" s="7"/>
      <c r="S111" s="10"/>
      <c r="T111" s="10"/>
    </row>
    <row r="112" spans="1:20" x14ac:dyDescent="0.15">
      <c r="A112" s="26"/>
      <c r="B112" s="11" t="s">
        <v>17</v>
      </c>
      <c r="C112" s="12"/>
      <c r="D112" s="13"/>
      <c r="E112" s="12"/>
      <c r="F112" s="14"/>
      <c r="G112" s="12"/>
      <c r="H112" s="14"/>
      <c r="I112" s="12"/>
      <c r="J112" s="14"/>
      <c r="K112" s="12"/>
      <c r="L112" s="14"/>
      <c r="M112" s="12"/>
      <c r="N112" s="14"/>
      <c r="O112" s="12"/>
      <c r="P112" s="14"/>
      <c r="Q112" s="12"/>
      <c r="R112" s="12"/>
      <c r="S112" s="10"/>
      <c r="T112" s="10"/>
    </row>
    <row r="113" spans="1:20" x14ac:dyDescent="0.15">
      <c r="A113" s="26"/>
      <c r="B113" s="11" t="s">
        <v>18</v>
      </c>
      <c r="C113" s="12"/>
      <c r="D113" s="13"/>
      <c r="E113" s="12"/>
      <c r="F113" s="14"/>
      <c r="G113" s="12"/>
      <c r="H113" s="14"/>
      <c r="I113" s="12"/>
      <c r="J113" s="14"/>
      <c r="K113" s="12"/>
      <c r="L113" s="14"/>
      <c r="M113" s="12"/>
      <c r="N113" s="14"/>
      <c r="O113" s="12"/>
      <c r="P113" s="14"/>
      <c r="Q113" s="12"/>
      <c r="R113" s="12"/>
      <c r="S113" s="10"/>
      <c r="T113" s="10"/>
    </row>
    <row r="114" spans="1:20" x14ac:dyDescent="0.15">
      <c r="A114" s="26"/>
      <c r="B114" s="11" t="s">
        <v>19</v>
      </c>
      <c r="C114" s="12"/>
      <c r="D114" s="13"/>
      <c r="E114" s="12"/>
      <c r="F114" s="14"/>
      <c r="G114" s="12"/>
      <c r="H114" s="14"/>
      <c r="I114" s="12"/>
      <c r="J114" s="14"/>
      <c r="K114" s="12"/>
      <c r="L114" s="14"/>
      <c r="M114" s="12"/>
      <c r="N114" s="14"/>
      <c r="O114" s="12"/>
      <c r="P114" s="14"/>
      <c r="Q114" s="12"/>
      <c r="R114" s="12"/>
      <c r="S114" s="10"/>
      <c r="T114" s="10"/>
    </row>
    <row r="115" spans="1:20" x14ac:dyDescent="0.15">
      <c r="A115" s="27"/>
      <c r="B115" s="15" t="s">
        <v>20</v>
      </c>
      <c r="C115" s="16"/>
      <c r="D115" s="17"/>
      <c r="E115" s="16"/>
      <c r="F115" s="18"/>
      <c r="G115" s="16"/>
      <c r="H115" s="18"/>
      <c r="I115" s="16"/>
      <c r="J115" s="18"/>
      <c r="K115" s="16"/>
      <c r="L115" s="18"/>
      <c r="M115" s="16"/>
      <c r="N115" s="18"/>
      <c r="O115" s="16"/>
      <c r="P115" s="18"/>
      <c r="Q115" s="16"/>
      <c r="R115" s="16"/>
      <c r="S115" s="10"/>
      <c r="T115" s="10"/>
    </row>
    <row r="116" spans="1:20" x14ac:dyDescent="0.15">
      <c r="A116" s="25" t="s">
        <v>42</v>
      </c>
      <c r="B116" s="6" t="s">
        <v>16</v>
      </c>
      <c r="C116" s="7"/>
      <c r="D116" s="8"/>
      <c r="E116" s="7"/>
      <c r="F116" s="9"/>
      <c r="G116" s="7"/>
      <c r="H116" s="9"/>
      <c r="I116" s="7"/>
      <c r="J116" s="9"/>
      <c r="K116" s="7"/>
      <c r="L116" s="9"/>
      <c r="M116" s="7"/>
      <c r="N116" s="9"/>
      <c r="O116" s="7"/>
      <c r="P116" s="9"/>
      <c r="Q116" s="7"/>
      <c r="R116" s="7"/>
      <c r="S116" s="10"/>
      <c r="T116" s="10"/>
    </row>
    <row r="117" spans="1:20" x14ac:dyDescent="0.15">
      <c r="A117" s="26"/>
      <c r="B117" s="11" t="s">
        <v>17</v>
      </c>
      <c r="C117" s="12"/>
      <c r="D117" s="13"/>
      <c r="E117" s="12"/>
      <c r="F117" s="14"/>
      <c r="G117" s="12"/>
      <c r="H117" s="14"/>
      <c r="I117" s="12"/>
      <c r="J117" s="14"/>
      <c r="K117" s="12"/>
      <c r="L117" s="14"/>
      <c r="M117" s="12"/>
      <c r="N117" s="14"/>
      <c r="O117" s="12"/>
      <c r="P117" s="14"/>
      <c r="Q117" s="12"/>
      <c r="R117" s="12"/>
      <c r="S117" s="10"/>
      <c r="T117" s="10"/>
    </row>
    <row r="118" spans="1:20" x14ac:dyDescent="0.15">
      <c r="A118" s="26"/>
      <c r="B118" s="11" t="s">
        <v>18</v>
      </c>
      <c r="C118" s="12"/>
      <c r="D118" s="13"/>
      <c r="E118" s="12"/>
      <c r="F118" s="14"/>
      <c r="G118" s="12"/>
      <c r="H118" s="14"/>
      <c r="I118" s="12"/>
      <c r="J118" s="14"/>
      <c r="K118" s="12"/>
      <c r="L118" s="14"/>
      <c r="M118" s="12"/>
      <c r="N118" s="14"/>
      <c r="O118" s="12"/>
      <c r="P118" s="14"/>
      <c r="Q118" s="12"/>
      <c r="R118" s="12"/>
      <c r="S118" s="10"/>
      <c r="T118" s="10"/>
    </row>
    <row r="119" spans="1:20" x14ac:dyDescent="0.15">
      <c r="A119" s="26"/>
      <c r="B119" s="11" t="s">
        <v>19</v>
      </c>
      <c r="C119" s="12"/>
      <c r="D119" s="13"/>
      <c r="E119" s="12"/>
      <c r="F119" s="14"/>
      <c r="G119" s="12"/>
      <c r="H119" s="14"/>
      <c r="I119" s="12"/>
      <c r="J119" s="14"/>
      <c r="K119" s="12"/>
      <c r="L119" s="14"/>
      <c r="M119" s="12"/>
      <c r="N119" s="14"/>
      <c r="O119" s="12"/>
      <c r="P119" s="14"/>
      <c r="Q119" s="12"/>
      <c r="R119" s="12"/>
      <c r="S119" s="10"/>
      <c r="T119" s="10"/>
    </row>
    <row r="120" spans="1:20" x14ac:dyDescent="0.15">
      <c r="A120" s="27"/>
      <c r="B120" s="15" t="s">
        <v>20</v>
      </c>
      <c r="C120" s="16"/>
      <c r="D120" s="17"/>
      <c r="E120" s="16"/>
      <c r="F120" s="18"/>
      <c r="G120" s="16"/>
      <c r="H120" s="18"/>
      <c r="I120" s="16"/>
      <c r="J120" s="18"/>
      <c r="K120" s="16"/>
      <c r="L120" s="18"/>
      <c r="M120" s="16"/>
      <c r="N120" s="18"/>
      <c r="O120" s="16"/>
      <c r="P120" s="18"/>
      <c r="Q120" s="16"/>
      <c r="R120" s="16"/>
      <c r="S120" s="10"/>
      <c r="T120" s="10"/>
    </row>
    <row r="121" spans="1:20" x14ac:dyDescent="0.15">
      <c r="A121" s="25" t="s">
        <v>43</v>
      </c>
      <c r="B121" s="6" t="s">
        <v>16</v>
      </c>
      <c r="C121" s="7"/>
      <c r="D121" s="8"/>
      <c r="E121" s="7"/>
      <c r="F121" s="9"/>
      <c r="G121" s="7"/>
      <c r="H121" s="9"/>
      <c r="I121" s="7"/>
      <c r="J121" s="9"/>
      <c r="K121" s="7"/>
      <c r="L121" s="9"/>
      <c r="M121" s="7"/>
      <c r="N121" s="9"/>
      <c r="O121" s="7"/>
      <c r="P121" s="9"/>
      <c r="Q121" s="7"/>
      <c r="R121" s="7"/>
      <c r="S121" s="10"/>
      <c r="T121" s="10"/>
    </row>
    <row r="122" spans="1:20" x14ac:dyDescent="0.15">
      <c r="A122" s="26"/>
      <c r="B122" s="11" t="s">
        <v>17</v>
      </c>
      <c r="C122" s="12"/>
      <c r="D122" s="13"/>
      <c r="E122" s="12"/>
      <c r="F122" s="14"/>
      <c r="G122" s="12"/>
      <c r="H122" s="14"/>
      <c r="I122" s="12"/>
      <c r="J122" s="14"/>
      <c r="K122" s="12"/>
      <c r="L122" s="14"/>
      <c r="M122" s="12"/>
      <c r="N122" s="14"/>
      <c r="O122" s="12"/>
      <c r="P122" s="14"/>
      <c r="Q122" s="12"/>
      <c r="R122" s="12"/>
      <c r="S122" s="10"/>
      <c r="T122" s="10"/>
    </row>
    <row r="123" spans="1:20" x14ac:dyDescent="0.15">
      <c r="A123" s="26"/>
      <c r="B123" s="11" t="s">
        <v>18</v>
      </c>
      <c r="C123" s="12"/>
      <c r="D123" s="13"/>
      <c r="E123" s="12"/>
      <c r="F123" s="14"/>
      <c r="G123" s="12"/>
      <c r="H123" s="14"/>
      <c r="I123" s="12"/>
      <c r="J123" s="14"/>
      <c r="K123" s="12"/>
      <c r="L123" s="14"/>
      <c r="M123" s="12"/>
      <c r="N123" s="14"/>
      <c r="O123" s="12"/>
      <c r="P123" s="14"/>
      <c r="Q123" s="12"/>
      <c r="R123" s="12"/>
      <c r="S123" s="10"/>
      <c r="T123" s="10"/>
    </row>
    <row r="124" spans="1:20" x14ac:dyDescent="0.15">
      <c r="A124" s="26"/>
      <c r="B124" s="11" t="s">
        <v>19</v>
      </c>
      <c r="C124" s="12"/>
      <c r="D124" s="13"/>
      <c r="E124" s="12"/>
      <c r="F124" s="14"/>
      <c r="G124" s="12"/>
      <c r="H124" s="14"/>
      <c r="I124" s="12"/>
      <c r="J124" s="14"/>
      <c r="K124" s="12"/>
      <c r="L124" s="14"/>
      <c r="M124" s="12"/>
      <c r="N124" s="14"/>
      <c r="O124" s="12"/>
      <c r="P124" s="14"/>
      <c r="Q124" s="12"/>
      <c r="R124" s="12"/>
      <c r="S124" s="10"/>
      <c r="T124" s="10"/>
    </row>
    <row r="125" spans="1:20" x14ac:dyDescent="0.15">
      <c r="A125" s="27"/>
      <c r="B125" s="11" t="s">
        <v>20</v>
      </c>
      <c r="C125" s="12"/>
      <c r="D125" s="13"/>
      <c r="E125" s="12"/>
      <c r="F125" s="14"/>
      <c r="G125" s="12"/>
      <c r="H125" s="14"/>
      <c r="I125" s="12"/>
      <c r="J125" s="14"/>
      <c r="K125" s="12"/>
      <c r="L125" s="14"/>
      <c r="M125" s="12"/>
      <c r="N125" s="14"/>
      <c r="O125" s="12"/>
      <c r="P125" s="14"/>
      <c r="Q125" s="12"/>
      <c r="R125" s="12"/>
      <c r="S125" s="10"/>
      <c r="T125" s="10"/>
    </row>
    <row r="126" spans="1:20" x14ac:dyDescent="0.15">
      <c r="A126" s="25" t="s">
        <v>44</v>
      </c>
      <c r="B126" s="6" t="s">
        <v>16</v>
      </c>
      <c r="C126" s="7"/>
      <c r="D126" s="8"/>
      <c r="E126" s="7"/>
      <c r="F126" s="9"/>
      <c r="G126" s="7"/>
      <c r="H126" s="9"/>
      <c r="I126" s="7"/>
      <c r="J126" s="9"/>
      <c r="K126" s="7"/>
      <c r="L126" s="9"/>
      <c r="M126" s="7"/>
      <c r="N126" s="9"/>
      <c r="O126" s="7"/>
      <c r="P126" s="9"/>
      <c r="Q126" s="7"/>
      <c r="R126" s="7"/>
      <c r="S126" s="10"/>
      <c r="T126" s="10"/>
    </row>
    <row r="127" spans="1:20" x14ac:dyDescent="0.15">
      <c r="A127" s="26"/>
      <c r="B127" s="11" t="s">
        <v>17</v>
      </c>
      <c r="C127" s="12"/>
      <c r="D127" s="13"/>
      <c r="E127" s="12"/>
      <c r="F127" s="14"/>
      <c r="G127" s="12"/>
      <c r="H127" s="14"/>
      <c r="I127" s="12"/>
      <c r="J127" s="14"/>
      <c r="K127" s="12"/>
      <c r="L127" s="14"/>
      <c r="M127" s="12"/>
      <c r="N127" s="14"/>
      <c r="O127" s="12"/>
      <c r="P127" s="14"/>
      <c r="Q127" s="12"/>
      <c r="R127" s="12"/>
      <c r="S127" s="10"/>
      <c r="T127" s="10"/>
    </row>
    <row r="128" spans="1:20" x14ac:dyDescent="0.15">
      <c r="A128" s="26"/>
      <c r="B128" s="11" t="s">
        <v>18</v>
      </c>
      <c r="C128" s="12"/>
      <c r="D128" s="13"/>
      <c r="E128" s="12"/>
      <c r="F128" s="14"/>
      <c r="G128" s="12"/>
      <c r="H128" s="14"/>
      <c r="I128" s="12"/>
      <c r="J128" s="14"/>
      <c r="K128" s="12"/>
      <c r="L128" s="14"/>
      <c r="M128" s="12"/>
      <c r="N128" s="14"/>
      <c r="O128" s="12"/>
      <c r="P128" s="14"/>
      <c r="Q128" s="12"/>
      <c r="R128" s="12"/>
      <c r="S128" s="10"/>
      <c r="T128" s="10"/>
    </row>
    <row r="129" spans="1:20" x14ac:dyDescent="0.15">
      <c r="A129" s="26"/>
      <c r="B129" s="11" t="s">
        <v>19</v>
      </c>
      <c r="C129" s="12"/>
      <c r="D129" s="13"/>
      <c r="E129" s="12"/>
      <c r="F129" s="14"/>
      <c r="G129" s="12"/>
      <c r="H129" s="14"/>
      <c r="I129" s="12"/>
      <c r="J129" s="14"/>
      <c r="K129" s="12"/>
      <c r="L129" s="14"/>
      <c r="M129" s="12"/>
      <c r="N129" s="14"/>
      <c r="O129" s="12"/>
      <c r="P129" s="14"/>
      <c r="Q129" s="12"/>
      <c r="R129" s="12"/>
      <c r="S129" s="10"/>
      <c r="T129" s="10"/>
    </row>
    <row r="130" spans="1:20" x14ac:dyDescent="0.15">
      <c r="A130" s="27"/>
      <c r="B130" s="11" t="s">
        <v>20</v>
      </c>
      <c r="C130" s="12"/>
      <c r="D130" s="13"/>
      <c r="E130" s="12"/>
      <c r="F130" s="14"/>
      <c r="G130" s="12"/>
      <c r="H130" s="14"/>
      <c r="I130" s="12"/>
      <c r="J130" s="14"/>
      <c r="K130" s="12"/>
      <c r="L130" s="14"/>
      <c r="M130" s="12"/>
      <c r="N130" s="14"/>
      <c r="O130" s="12"/>
      <c r="P130" s="14"/>
      <c r="Q130" s="12"/>
      <c r="R130" s="12"/>
      <c r="S130" s="10"/>
      <c r="T130" s="10"/>
    </row>
    <row r="131" spans="1:20" x14ac:dyDescent="0.15">
      <c r="A131" s="25" t="s">
        <v>45</v>
      </c>
      <c r="B131" s="6" t="s">
        <v>16</v>
      </c>
      <c r="C131" s="7"/>
      <c r="D131" s="8"/>
      <c r="E131" s="7"/>
      <c r="F131" s="9"/>
      <c r="G131" s="7"/>
      <c r="H131" s="9"/>
      <c r="I131" s="7"/>
      <c r="J131" s="9"/>
      <c r="K131" s="7"/>
      <c r="L131" s="9"/>
      <c r="M131" s="7"/>
      <c r="N131" s="9"/>
      <c r="O131" s="7"/>
      <c r="P131" s="9"/>
      <c r="Q131" s="7"/>
      <c r="R131" s="7"/>
      <c r="S131" s="10"/>
      <c r="T131" s="10"/>
    </row>
    <row r="132" spans="1:20" x14ac:dyDescent="0.15">
      <c r="A132" s="26"/>
      <c r="B132" s="11" t="s">
        <v>17</v>
      </c>
      <c r="C132" s="12"/>
      <c r="D132" s="13"/>
      <c r="E132" s="12"/>
      <c r="F132" s="14"/>
      <c r="G132" s="12"/>
      <c r="H132" s="14"/>
      <c r="I132" s="12"/>
      <c r="J132" s="14"/>
      <c r="K132" s="12"/>
      <c r="L132" s="14"/>
      <c r="M132" s="12"/>
      <c r="N132" s="14"/>
      <c r="O132" s="12"/>
      <c r="P132" s="14"/>
      <c r="Q132" s="12"/>
      <c r="R132" s="12"/>
      <c r="S132" s="10"/>
      <c r="T132" s="10"/>
    </row>
    <row r="133" spans="1:20" x14ac:dyDescent="0.15">
      <c r="A133" s="26"/>
      <c r="B133" s="11" t="s">
        <v>18</v>
      </c>
      <c r="C133" s="12"/>
      <c r="D133" s="13"/>
      <c r="E133" s="12"/>
      <c r="F133" s="14"/>
      <c r="G133" s="12"/>
      <c r="H133" s="14"/>
      <c r="I133" s="12"/>
      <c r="J133" s="14"/>
      <c r="K133" s="12"/>
      <c r="L133" s="14"/>
      <c r="M133" s="12"/>
      <c r="N133" s="14"/>
      <c r="O133" s="12"/>
      <c r="P133" s="14"/>
      <c r="Q133" s="12"/>
      <c r="R133" s="12"/>
      <c r="S133" s="10"/>
      <c r="T133" s="10"/>
    </row>
    <row r="134" spans="1:20" x14ac:dyDescent="0.15">
      <c r="A134" s="26"/>
      <c r="B134" s="11" t="s">
        <v>19</v>
      </c>
      <c r="C134" s="12"/>
      <c r="D134" s="13"/>
      <c r="E134" s="12"/>
      <c r="F134" s="14"/>
      <c r="G134" s="12"/>
      <c r="H134" s="14"/>
      <c r="I134" s="12"/>
      <c r="J134" s="14"/>
      <c r="K134" s="12"/>
      <c r="L134" s="14"/>
      <c r="M134" s="12"/>
      <c r="N134" s="14"/>
      <c r="O134" s="12"/>
      <c r="P134" s="14"/>
      <c r="Q134" s="12"/>
      <c r="R134" s="12"/>
      <c r="S134" s="10"/>
      <c r="T134" s="10"/>
    </row>
    <row r="135" spans="1:20" x14ac:dyDescent="0.15">
      <c r="A135" s="27"/>
      <c r="B135" s="11" t="s">
        <v>20</v>
      </c>
      <c r="C135" s="12"/>
      <c r="D135" s="13"/>
      <c r="E135" s="12"/>
      <c r="F135" s="14"/>
      <c r="G135" s="12"/>
      <c r="H135" s="14"/>
      <c r="I135" s="12"/>
      <c r="J135" s="14"/>
      <c r="K135" s="12"/>
      <c r="L135" s="14"/>
      <c r="M135" s="12"/>
      <c r="N135" s="14"/>
      <c r="O135" s="12"/>
      <c r="P135" s="14"/>
      <c r="Q135" s="12"/>
      <c r="R135" s="12"/>
      <c r="S135" s="10"/>
      <c r="T135" s="10"/>
    </row>
    <row r="136" spans="1:20" x14ac:dyDescent="0.15">
      <c r="A136" s="25" t="s">
        <v>46</v>
      </c>
      <c r="B136" s="6" t="s">
        <v>16</v>
      </c>
      <c r="C136" s="7"/>
      <c r="D136" s="8"/>
      <c r="E136" s="7"/>
      <c r="F136" s="9"/>
      <c r="G136" s="7"/>
      <c r="H136" s="9"/>
      <c r="I136" s="7"/>
      <c r="J136" s="9"/>
      <c r="K136" s="7"/>
      <c r="L136" s="9"/>
      <c r="M136" s="7"/>
      <c r="N136" s="9"/>
      <c r="O136" s="7"/>
      <c r="P136" s="9"/>
      <c r="Q136" s="7"/>
      <c r="R136" s="7"/>
      <c r="S136" s="10"/>
      <c r="T136" s="10"/>
    </row>
    <row r="137" spans="1:20" x14ac:dyDescent="0.15">
      <c r="A137" s="26"/>
      <c r="B137" s="11" t="s">
        <v>17</v>
      </c>
      <c r="C137" s="12"/>
      <c r="D137" s="13"/>
      <c r="E137" s="12"/>
      <c r="F137" s="14"/>
      <c r="G137" s="12"/>
      <c r="H137" s="14"/>
      <c r="I137" s="12"/>
      <c r="J137" s="14"/>
      <c r="K137" s="12"/>
      <c r="L137" s="14"/>
      <c r="M137" s="12"/>
      <c r="N137" s="14"/>
      <c r="O137" s="12"/>
      <c r="P137" s="14"/>
      <c r="Q137" s="12"/>
      <c r="R137" s="12"/>
      <c r="S137" s="10"/>
      <c r="T137" s="10"/>
    </row>
    <row r="138" spans="1:20" x14ac:dyDescent="0.15">
      <c r="A138" s="26"/>
      <c r="B138" s="11" t="s">
        <v>18</v>
      </c>
      <c r="C138" s="12"/>
      <c r="D138" s="13"/>
      <c r="E138" s="12"/>
      <c r="F138" s="14"/>
      <c r="G138" s="12"/>
      <c r="H138" s="14"/>
      <c r="I138" s="12"/>
      <c r="J138" s="14"/>
      <c r="K138" s="12"/>
      <c r="L138" s="14"/>
      <c r="M138" s="12"/>
      <c r="N138" s="14"/>
      <c r="O138" s="12"/>
      <c r="P138" s="14"/>
      <c r="Q138" s="12"/>
      <c r="R138" s="12"/>
      <c r="S138" s="10"/>
      <c r="T138" s="10"/>
    </row>
    <row r="139" spans="1:20" x14ac:dyDescent="0.15">
      <c r="A139" s="26"/>
      <c r="B139" s="11" t="s">
        <v>19</v>
      </c>
      <c r="C139" s="12"/>
      <c r="D139" s="13"/>
      <c r="E139" s="12"/>
      <c r="F139" s="14"/>
      <c r="G139" s="12"/>
      <c r="H139" s="14"/>
      <c r="I139" s="12"/>
      <c r="J139" s="14"/>
      <c r="K139" s="12"/>
      <c r="L139" s="14"/>
      <c r="M139" s="12"/>
      <c r="N139" s="14"/>
      <c r="O139" s="12"/>
      <c r="P139" s="14"/>
      <c r="Q139" s="12"/>
      <c r="R139" s="12"/>
      <c r="S139" s="10"/>
      <c r="T139" s="10"/>
    </row>
    <row r="140" spans="1:20" x14ac:dyDescent="0.15">
      <c r="A140" s="27"/>
      <c r="B140" s="11" t="s">
        <v>20</v>
      </c>
      <c r="C140" s="12"/>
      <c r="D140" s="13"/>
      <c r="E140" s="12"/>
      <c r="F140" s="14"/>
      <c r="G140" s="12"/>
      <c r="H140" s="14"/>
      <c r="I140" s="12"/>
      <c r="J140" s="14"/>
      <c r="K140" s="12"/>
      <c r="L140" s="14"/>
      <c r="M140" s="12"/>
      <c r="N140" s="14"/>
      <c r="O140" s="12"/>
      <c r="P140" s="14"/>
      <c r="Q140" s="12"/>
      <c r="R140" s="12"/>
      <c r="S140" s="10"/>
      <c r="T140" s="10"/>
    </row>
    <row r="141" spans="1:20" x14ac:dyDescent="0.15">
      <c r="A141" s="25" t="s">
        <v>47</v>
      </c>
      <c r="B141" s="6" t="s">
        <v>16</v>
      </c>
      <c r="C141" s="7"/>
      <c r="D141" s="8"/>
      <c r="E141" s="7"/>
      <c r="F141" s="9"/>
      <c r="G141" s="7"/>
      <c r="H141" s="9"/>
      <c r="I141" s="7"/>
      <c r="J141" s="9"/>
      <c r="K141" s="7"/>
      <c r="L141" s="9"/>
      <c r="M141" s="7"/>
      <c r="N141" s="9"/>
      <c r="O141" s="7"/>
      <c r="P141" s="9"/>
      <c r="Q141" s="7"/>
      <c r="R141" s="7"/>
      <c r="S141" s="10"/>
      <c r="T141" s="10"/>
    </row>
    <row r="142" spans="1:20" x14ac:dyDescent="0.15">
      <c r="A142" s="26"/>
      <c r="B142" s="11" t="s">
        <v>17</v>
      </c>
      <c r="C142" s="12"/>
      <c r="D142" s="13"/>
      <c r="E142" s="12"/>
      <c r="F142" s="14"/>
      <c r="G142" s="12"/>
      <c r="H142" s="14"/>
      <c r="I142" s="12"/>
      <c r="J142" s="14"/>
      <c r="K142" s="12"/>
      <c r="L142" s="14"/>
      <c r="M142" s="12"/>
      <c r="N142" s="14"/>
      <c r="O142" s="12"/>
      <c r="P142" s="14"/>
      <c r="Q142" s="12"/>
      <c r="R142" s="12"/>
      <c r="S142" s="10"/>
      <c r="T142" s="10"/>
    </row>
    <row r="143" spans="1:20" x14ac:dyDescent="0.15">
      <c r="A143" s="26"/>
      <c r="B143" s="11" t="s">
        <v>18</v>
      </c>
      <c r="C143" s="12"/>
      <c r="D143" s="13"/>
      <c r="E143" s="12"/>
      <c r="F143" s="14"/>
      <c r="G143" s="12"/>
      <c r="H143" s="14"/>
      <c r="I143" s="12"/>
      <c r="J143" s="14"/>
      <c r="K143" s="12"/>
      <c r="L143" s="14"/>
      <c r="M143" s="12"/>
      <c r="N143" s="14"/>
      <c r="O143" s="12"/>
      <c r="P143" s="14"/>
      <c r="Q143" s="12"/>
      <c r="R143" s="12"/>
      <c r="S143" s="10"/>
      <c r="T143" s="10"/>
    </row>
    <row r="144" spans="1:20" x14ac:dyDescent="0.15">
      <c r="A144" s="26"/>
      <c r="B144" s="11" t="s">
        <v>19</v>
      </c>
      <c r="C144" s="12"/>
      <c r="D144" s="13"/>
      <c r="E144" s="12"/>
      <c r="F144" s="14"/>
      <c r="G144" s="12"/>
      <c r="H144" s="14"/>
      <c r="I144" s="12"/>
      <c r="J144" s="14"/>
      <c r="K144" s="12"/>
      <c r="L144" s="14"/>
      <c r="M144" s="12"/>
      <c r="N144" s="14"/>
      <c r="O144" s="12"/>
      <c r="P144" s="14"/>
      <c r="Q144" s="12"/>
      <c r="R144" s="12"/>
      <c r="S144" s="10"/>
      <c r="T144" s="10"/>
    </row>
    <row r="145" spans="1:20" x14ac:dyDescent="0.15">
      <c r="A145" s="27"/>
      <c r="B145" s="11" t="s">
        <v>20</v>
      </c>
      <c r="C145" s="12"/>
      <c r="D145" s="13"/>
      <c r="E145" s="12"/>
      <c r="F145" s="14"/>
      <c r="G145" s="12"/>
      <c r="H145" s="14"/>
      <c r="I145" s="12"/>
      <c r="J145" s="14"/>
      <c r="K145" s="12"/>
      <c r="L145" s="14"/>
      <c r="M145" s="12"/>
      <c r="N145" s="14"/>
      <c r="O145" s="12"/>
      <c r="P145" s="14"/>
      <c r="Q145" s="12"/>
      <c r="R145" s="12"/>
      <c r="S145" s="10"/>
      <c r="T145" s="10"/>
    </row>
    <row r="146" spans="1:20" x14ac:dyDescent="0.15">
      <c r="A146" s="25" t="s">
        <v>48</v>
      </c>
      <c r="B146" s="6" t="s">
        <v>16</v>
      </c>
      <c r="C146" s="7"/>
      <c r="D146" s="8"/>
      <c r="E146" s="7"/>
      <c r="F146" s="9"/>
      <c r="G146" s="7"/>
      <c r="H146" s="9"/>
      <c r="I146" s="7"/>
      <c r="J146" s="9"/>
      <c r="K146" s="7"/>
      <c r="L146" s="9"/>
      <c r="M146" s="7"/>
      <c r="N146" s="9"/>
      <c r="O146" s="7"/>
      <c r="P146" s="9"/>
      <c r="Q146" s="7"/>
      <c r="R146" s="7"/>
      <c r="S146" s="10"/>
      <c r="T146" s="10"/>
    </row>
    <row r="147" spans="1:20" x14ac:dyDescent="0.15">
      <c r="A147" s="26"/>
      <c r="B147" s="11" t="s">
        <v>17</v>
      </c>
      <c r="C147" s="12"/>
      <c r="D147" s="13"/>
      <c r="E147" s="12"/>
      <c r="F147" s="14"/>
      <c r="G147" s="12"/>
      <c r="H147" s="14"/>
      <c r="I147" s="12"/>
      <c r="J147" s="14"/>
      <c r="K147" s="12"/>
      <c r="L147" s="14"/>
      <c r="M147" s="12"/>
      <c r="N147" s="14"/>
      <c r="O147" s="12"/>
      <c r="P147" s="14"/>
      <c r="Q147" s="12"/>
      <c r="R147" s="12"/>
      <c r="S147" s="10"/>
      <c r="T147" s="10"/>
    </row>
    <row r="148" spans="1:20" x14ac:dyDescent="0.15">
      <c r="A148" s="26"/>
      <c r="B148" s="11" t="s">
        <v>18</v>
      </c>
      <c r="C148" s="12"/>
      <c r="D148" s="13"/>
      <c r="E148" s="12"/>
      <c r="F148" s="14"/>
      <c r="G148" s="12"/>
      <c r="H148" s="14"/>
      <c r="I148" s="12"/>
      <c r="J148" s="14"/>
      <c r="K148" s="12"/>
      <c r="L148" s="14"/>
      <c r="M148" s="12"/>
      <c r="N148" s="14"/>
      <c r="O148" s="12"/>
      <c r="P148" s="14"/>
      <c r="Q148" s="12"/>
      <c r="R148" s="12"/>
      <c r="S148" s="10"/>
      <c r="T148" s="10"/>
    </row>
    <row r="149" spans="1:20" x14ac:dyDescent="0.15">
      <c r="A149" s="26"/>
      <c r="B149" s="11" t="s">
        <v>19</v>
      </c>
      <c r="C149" s="12"/>
      <c r="D149" s="13"/>
      <c r="E149" s="12"/>
      <c r="F149" s="14"/>
      <c r="G149" s="12"/>
      <c r="H149" s="14"/>
      <c r="I149" s="12"/>
      <c r="J149" s="14"/>
      <c r="K149" s="12"/>
      <c r="L149" s="14"/>
      <c r="M149" s="12"/>
      <c r="N149" s="14"/>
      <c r="O149" s="12"/>
      <c r="P149" s="14"/>
      <c r="Q149" s="12"/>
      <c r="R149" s="12"/>
      <c r="S149" s="10"/>
      <c r="T149" s="10"/>
    </row>
    <row r="150" spans="1:20" x14ac:dyDescent="0.15">
      <c r="A150" s="27"/>
      <c r="B150" s="11" t="s">
        <v>20</v>
      </c>
      <c r="C150" s="12"/>
      <c r="D150" s="13"/>
      <c r="E150" s="12"/>
      <c r="F150" s="14"/>
      <c r="G150" s="12"/>
      <c r="H150" s="14"/>
      <c r="I150" s="12"/>
      <c r="J150" s="14"/>
      <c r="K150" s="12"/>
      <c r="L150" s="14"/>
      <c r="M150" s="12"/>
      <c r="N150" s="14"/>
      <c r="O150" s="12"/>
      <c r="P150" s="14"/>
      <c r="Q150" s="12"/>
      <c r="R150" s="12"/>
      <c r="S150" s="10"/>
      <c r="T150" s="10"/>
    </row>
    <row r="151" spans="1:20" x14ac:dyDescent="0.15">
      <c r="A151" s="25" t="s">
        <v>49</v>
      </c>
      <c r="B151" s="6" t="s">
        <v>16</v>
      </c>
      <c r="C151" s="7"/>
      <c r="D151" s="8"/>
      <c r="E151" s="7"/>
      <c r="F151" s="9"/>
      <c r="G151" s="7"/>
      <c r="H151" s="9"/>
      <c r="I151" s="7"/>
      <c r="J151" s="9"/>
      <c r="K151" s="7"/>
      <c r="L151" s="9"/>
      <c r="M151" s="7"/>
      <c r="N151" s="9"/>
      <c r="O151" s="7"/>
      <c r="P151" s="9"/>
      <c r="Q151" s="7"/>
      <c r="R151" s="7"/>
      <c r="S151" s="10"/>
      <c r="T151" s="10"/>
    </row>
    <row r="152" spans="1:20" x14ac:dyDescent="0.15">
      <c r="A152" s="26"/>
      <c r="B152" s="11" t="s">
        <v>17</v>
      </c>
      <c r="C152" s="12"/>
      <c r="D152" s="13"/>
      <c r="E152" s="12"/>
      <c r="F152" s="14"/>
      <c r="G152" s="12"/>
      <c r="H152" s="14"/>
      <c r="I152" s="12"/>
      <c r="J152" s="14"/>
      <c r="K152" s="12"/>
      <c r="L152" s="14"/>
      <c r="M152" s="12"/>
      <c r="N152" s="14"/>
      <c r="O152" s="12"/>
      <c r="P152" s="14"/>
      <c r="Q152" s="12"/>
      <c r="R152" s="12"/>
      <c r="S152" s="10"/>
      <c r="T152" s="10"/>
    </row>
    <row r="153" spans="1:20" x14ac:dyDescent="0.15">
      <c r="A153" s="26"/>
      <c r="B153" s="11" t="s">
        <v>18</v>
      </c>
      <c r="C153" s="12"/>
      <c r="D153" s="13"/>
      <c r="E153" s="12"/>
      <c r="F153" s="14"/>
      <c r="G153" s="12"/>
      <c r="H153" s="14"/>
      <c r="I153" s="12"/>
      <c r="J153" s="14"/>
      <c r="K153" s="12"/>
      <c r="L153" s="14"/>
      <c r="M153" s="12"/>
      <c r="N153" s="14"/>
      <c r="O153" s="12"/>
      <c r="P153" s="14"/>
      <c r="Q153" s="12"/>
      <c r="R153" s="12"/>
      <c r="S153" s="10"/>
      <c r="T153" s="10"/>
    </row>
    <row r="154" spans="1:20" x14ac:dyDescent="0.15">
      <c r="A154" s="26"/>
      <c r="B154" s="11" t="s">
        <v>19</v>
      </c>
      <c r="C154" s="12"/>
      <c r="D154" s="13"/>
      <c r="E154" s="12"/>
      <c r="F154" s="14"/>
      <c r="G154" s="12"/>
      <c r="H154" s="14"/>
      <c r="I154" s="12"/>
      <c r="J154" s="14"/>
      <c r="K154" s="12"/>
      <c r="L154" s="14"/>
      <c r="M154" s="12"/>
      <c r="N154" s="14"/>
      <c r="O154" s="12"/>
      <c r="P154" s="14"/>
      <c r="Q154" s="12"/>
      <c r="R154" s="12"/>
      <c r="S154" s="10"/>
      <c r="T154" s="10"/>
    </row>
    <row r="155" spans="1:20" x14ac:dyDescent="0.15">
      <c r="A155" s="27"/>
      <c r="B155" s="11" t="s">
        <v>20</v>
      </c>
      <c r="C155" s="12"/>
      <c r="D155" s="13"/>
      <c r="E155" s="12"/>
      <c r="F155" s="14"/>
      <c r="G155" s="12"/>
      <c r="H155" s="14"/>
      <c r="I155" s="12"/>
      <c r="J155" s="14"/>
      <c r="K155" s="12"/>
      <c r="L155" s="14"/>
      <c r="M155" s="12"/>
      <c r="N155" s="14"/>
      <c r="O155" s="12"/>
      <c r="P155" s="14"/>
      <c r="Q155" s="12"/>
      <c r="R155" s="12"/>
      <c r="S155" s="10"/>
      <c r="T155" s="10"/>
    </row>
    <row r="156" spans="1:20" x14ac:dyDescent="0.15">
      <c r="A156" s="25" t="s">
        <v>50</v>
      </c>
      <c r="B156" s="6" t="s">
        <v>16</v>
      </c>
      <c r="C156" s="7"/>
      <c r="D156" s="8"/>
      <c r="E156" s="7"/>
      <c r="F156" s="9"/>
      <c r="G156" s="7"/>
      <c r="H156" s="9"/>
      <c r="I156" s="7"/>
      <c r="J156" s="9"/>
      <c r="K156" s="7"/>
      <c r="L156" s="9"/>
      <c r="M156" s="7"/>
      <c r="N156" s="9"/>
      <c r="O156" s="7"/>
      <c r="P156" s="9"/>
      <c r="Q156" s="7"/>
      <c r="R156" s="7"/>
      <c r="S156" s="10"/>
      <c r="T156" s="10"/>
    </row>
    <row r="157" spans="1:20" x14ac:dyDescent="0.15">
      <c r="A157" s="26"/>
      <c r="B157" s="11" t="s">
        <v>17</v>
      </c>
      <c r="C157" s="12"/>
      <c r="D157" s="13"/>
      <c r="E157" s="12"/>
      <c r="F157" s="14"/>
      <c r="G157" s="12"/>
      <c r="H157" s="14"/>
      <c r="I157" s="12"/>
      <c r="J157" s="14"/>
      <c r="K157" s="12"/>
      <c r="L157" s="14"/>
      <c r="M157" s="12"/>
      <c r="N157" s="14"/>
      <c r="O157" s="12"/>
      <c r="P157" s="14"/>
      <c r="Q157" s="12"/>
      <c r="R157" s="12"/>
      <c r="S157" s="10"/>
      <c r="T157" s="10"/>
    </row>
    <row r="158" spans="1:20" x14ac:dyDescent="0.15">
      <c r="A158" s="26"/>
      <c r="B158" s="11" t="s">
        <v>18</v>
      </c>
      <c r="C158" s="12"/>
      <c r="D158" s="13"/>
      <c r="E158" s="12"/>
      <c r="F158" s="14"/>
      <c r="G158" s="12"/>
      <c r="H158" s="14"/>
      <c r="I158" s="12"/>
      <c r="J158" s="14"/>
      <c r="K158" s="12"/>
      <c r="L158" s="14"/>
      <c r="M158" s="12"/>
      <c r="N158" s="14"/>
      <c r="O158" s="12"/>
      <c r="P158" s="14"/>
      <c r="Q158" s="12"/>
      <c r="R158" s="12"/>
      <c r="S158" s="10"/>
      <c r="T158" s="10"/>
    </row>
    <row r="159" spans="1:20" x14ac:dyDescent="0.15">
      <c r="A159" s="26"/>
      <c r="B159" s="11" t="s">
        <v>19</v>
      </c>
      <c r="C159" s="12"/>
      <c r="D159" s="13"/>
      <c r="E159" s="12"/>
      <c r="F159" s="14"/>
      <c r="G159" s="12"/>
      <c r="H159" s="14"/>
      <c r="I159" s="12"/>
      <c r="J159" s="14"/>
      <c r="K159" s="12"/>
      <c r="L159" s="14"/>
      <c r="M159" s="12"/>
      <c r="N159" s="14"/>
      <c r="O159" s="12"/>
      <c r="P159" s="14"/>
      <c r="Q159" s="12"/>
      <c r="R159" s="12"/>
      <c r="S159" s="10"/>
      <c r="T159" s="10"/>
    </row>
    <row r="160" spans="1:20" x14ac:dyDescent="0.15">
      <c r="A160" s="27"/>
      <c r="B160" s="15" t="s">
        <v>20</v>
      </c>
      <c r="C160" s="16"/>
      <c r="D160" s="17"/>
      <c r="E160" s="16"/>
      <c r="F160" s="18"/>
      <c r="G160" s="16"/>
      <c r="H160" s="18"/>
      <c r="I160" s="16"/>
      <c r="J160" s="18"/>
      <c r="K160" s="16"/>
      <c r="L160" s="18"/>
      <c r="M160" s="16"/>
      <c r="N160" s="18"/>
      <c r="O160" s="16"/>
      <c r="P160" s="18"/>
      <c r="Q160" s="16"/>
      <c r="R160" s="16"/>
      <c r="S160" s="10"/>
      <c r="T160" s="10"/>
    </row>
    <row r="161" spans="1:20" x14ac:dyDescent="0.15">
      <c r="A161" s="25" t="s">
        <v>51</v>
      </c>
      <c r="B161" s="6" t="s">
        <v>16</v>
      </c>
      <c r="C161" s="7"/>
      <c r="D161" s="8"/>
      <c r="E161" s="7"/>
      <c r="F161" s="9"/>
      <c r="G161" s="7"/>
      <c r="H161" s="9"/>
      <c r="I161" s="7"/>
      <c r="J161" s="9"/>
      <c r="K161" s="7"/>
      <c r="L161" s="9"/>
      <c r="M161" s="7"/>
      <c r="N161" s="9"/>
      <c r="O161" s="7"/>
      <c r="P161" s="9"/>
      <c r="Q161" s="7"/>
      <c r="R161" s="7"/>
      <c r="S161" s="10"/>
      <c r="T161" s="10"/>
    </row>
    <row r="162" spans="1:20" x14ac:dyDescent="0.15">
      <c r="A162" s="26"/>
      <c r="B162" s="11" t="s">
        <v>17</v>
      </c>
      <c r="C162" s="12"/>
      <c r="D162" s="13"/>
      <c r="E162" s="12"/>
      <c r="F162" s="14"/>
      <c r="G162" s="12"/>
      <c r="H162" s="14"/>
      <c r="I162" s="12"/>
      <c r="J162" s="14"/>
      <c r="K162" s="12"/>
      <c r="L162" s="14"/>
      <c r="M162" s="12"/>
      <c r="N162" s="14"/>
      <c r="O162" s="12"/>
      <c r="P162" s="14"/>
      <c r="Q162" s="12"/>
      <c r="R162" s="12"/>
      <c r="S162" s="10"/>
      <c r="T162" s="10"/>
    </row>
    <row r="163" spans="1:20" x14ac:dyDescent="0.15">
      <c r="A163" s="26"/>
      <c r="B163" s="11" t="s">
        <v>18</v>
      </c>
      <c r="C163" s="12"/>
      <c r="D163" s="13"/>
      <c r="E163" s="12"/>
      <c r="F163" s="14"/>
      <c r="G163" s="12"/>
      <c r="H163" s="14"/>
      <c r="I163" s="12"/>
      <c r="J163" s="14"/>
      <c r="K163" s="12"/>
      <c r="L163" s="14"/>
      <c r="M163" s="12"/>
      <c r="N163" s="14"/>
      <c r="O163" s="12"/>
      <c r="P163" s="14"/>
      <c r="Q163" s="12"/>
      <c r="R163" s="12"/>
      <c r="S163" s="10"/>
      <c r="T163" s="10"/>
    </row>
    <row r="164" spans="1:20" x14ac:dyDescent="0.15">
      <c r="A164" s="26"/>
      <c r="B164" s="11" t="s">
        <v>19</v>
      </c>
      <c r="C164" s="12"/>
      <c r="D164" s="13"/>
      <c r="E164" s="12"/>
      <c r="F164" s="14"/>
      <c r="G164" s="12"/>
      <c r="H164" s="14"/>
      <c r="I164" s="12"/>
      <c r="J164" s="14"/>
      <c r="K164" s="12"/>
      <c r="L164" s="14"/>
      <c r="M164" s="12"/>
      <c r="N164" s="14"/>
      <c r="O164" s="12"/>
      <c r="P164" s="14"/>
      <c r="Q164" s="12"/>
      <c r="R164" s="12"/>
      <c r="S164" s="10"/>
      <c r="T164" s="10"/>
    </row>
    <row r="165" spans="1:20" x14ac:dyDescent="0.15">
      <c r="A165" s="27"/>
      <c r="B165" s="11" t="s">
        <v>20</v>
      </c>
      <c r="C165" s="12"/>
      <c r="D165" s="13"/>
      <c r="E165" s="12"/>
      <c r="F165" s="14"/>
      <c r="G165" s="12"/>
      <c r="H165" s="14"/>
      <c r="I165" s="12"/>
      <c r="J165" s="14"/>
      <c r="K165" s="12"/>
      <c r="L165" s="14"/>
      <c r="M165" s="12"/>
      <c r="N165" s="14"/>
      <c r="O165" s="12"/>
      <c r="P165" s="14"/>
      <c r="Q165" s="12"/>
      <c r="R165" s="12"/>
      <c r="S165" s="10"/>
      <c r="T165" s="10"/>
    </row>
    <row r="166" spans="1:20" x14ac:dyDescent="0.15">
      <c r="A166" s="25" t="s">
        <v>52</v>
      </c>
      <c r="B166" s="6" t="s">
        <v>16</v>
      </c>
      <c r="C166" s="7"/>
      <c r="D166" s="8"/>
      <c r="E166" s="7"/>
      <c r="F166" s="9"/>
      <c r="G166" s="7"/>
      <c r="H166" s="9"/>
      <c r="I166" s="7"/>
      <c r="J166" s="9"/>
      <c r="K166" s="7"/>
      <c r="L166" s="9"/>
      <c r="M166" s="7"/>
      <c r="N166" s="9"/>
      <c r="O166" s="7"/>
      <c r="P166" s="9"/>
      <c r="Q166" s="7"/>
      <c r="R166" s="7"/>
      <c r="S166" s="10"/>
      <c r="T166" s="10"/>
    </row>
    <row r="167" spans="1:20" x14ac:dyDescent="0.15">
      <c r="A167" s="26"/>
      <c r="B167" s="11" t="s">
        <v>17</v>
      </c>
      <c r="C167" s="12"/>
      <c r="D167" s="13"/>
      <c r="E167" s="12"/>
      <c r="F167" s="14"/>
      <c r="G167" s="12"/>
      <c r="H167" s="14"/>
      <c r="I167" s="12"/>
      <c r="J167" s="14"/>
      <c r="K167" s="12"/>
      <c r="L167" s="14"/>
      <c r="M167" s="12"/>
      <c r="N167" s="14"/>
      <c r="O167" s="12"/>
      <c r="P167" s="14"/>
      <c r="Q167" s="12"/>
      <c r="R167" s="12"/>
      <c r="S167" s="10"/>
      <c r="T167" s="10"/>
    </row>
    <row r="168" spans="1:20" x14ac:dyDescent="0.15">
      <c r="A168" s="26"/>
      <c r="B168" s="11" t="s">
        <v>18</v>
      </c>
      <c r="C168" s="12"/>
      <c r="D168" s="13"/>
      <c r="E168" s="12"/>
      <c r="F168" s="14"/>
      <c r="G168" s="12"/>
      <c r="H168" s="14"/>
      <c r="I168" s="12"/>
      <c r="J168" s="14"/>
      <c r="K168" s="12"/>
      <c r="L168" s="14"/>
      <c r="M168" s="12"/>
      <c r="N168" s="14"/>
      <c r="O168" s="12"/>
      <c r="P168" s="14"/>
      <c r="Q168" s="12"/>
      <c r="R168" s="12"/>
      <c r="S168" s="10"/>
      <c r="T168" s="10"/>
    </row>
    <row r="169" spans="1:20" x14ac:dyDescent="0.15">
      <c r="A169" s="26"/>
      <c r="B169" s="11" t="s">
        <v>19</v>
      </c>
      <c r="C169" s="12"/>
      <c r="D169" s="13"/>
      <c r="E169" s="12"/>
      <c r="F169" s="14"/>
      <c r="G169" s="12"/>
      <c r="H169" s="14"/>
      <c r="I169" s="12"/>
      <c r="J169" s="14"/>
      <c r="K169" s="12"/>
      <c r="L169" s="14"/>
      <c r="M169" s="12"/>
      <c r="N169" s="14"/>
      <c r="O169" s="12"/>
      <c r="P169" s="14"/>
      <c r="Q169" s="12"/>
      <c r="R169" s="12"/>
      <c r="S169" s="10"/>
      <c r="T169" s="10"/>
    </row>
    <row r="170" spans="1:20" x14ac:dyDescent="0.15">
      <c r="A170" s="27"/>
      <c r="B170" s="15" t="s">
        <v>20</v>
      </c>
      <c r="C170" s="16"/>
      <c r="D170" s="17"/>
      <c r="E170" s="16"/>
      <c r="F170" s="18"/>
      <c r="G170" s="16"/>
      <c r="H170" s="18"/>
      <c r="I170" s="16"/>
      <c r="J170" s="18"/>
      <c r="K170" s="16"/>
      <c r="L170" s="18"/>
      <c r="M170" s="16"/>
      <c r="N170" s="18"/>
      <c r="O170" s="16"/>
      <c r="P170" s="18"/>
      <c r="Q170" s="16"/>
      <c r="R170" s="16"/>
      <c r="S170" s="10"/>
      <c r="T170" s="10"/>
    </row>
    <row r="171" spans="1:20" x14ac:dyDescent="0.15">
      <c r="A171" s="25" t="s">
        <v>53</v>
      </c>
      <c r="B171" s="6" t="s">
        <v>16</v>
      </c>
      <c r="C171" s="7"/>
      <c r="D171" s="8"/>
      <c r="E171" s="7"/>
      <c r="F171" s="9"/>
      <c r="G171" s="7"/>
      <c r="H171" s="9"/>
      <c r="I171" s="7"/>
      <c r="J171" s="9"/>
      <c r="K171" s="7"/>
      <c r="L171" s="9"/>
      <c r="M171" s="7"/>
      <c r="N171" s="9"/>
      <c r="O171" s="7"/>
      <c r="P171" s="9"/>
      <c r="Q171" s="7"/>
      <c r="R171" s="7"/>
      <c r="S171" s="10"/>
      <c r="T171" s="10"/>
    </row>
    <row r="172" spans="1:20" x14ac:dyDescent="0.15">
      <c r="A172" s="26"/>
      <c r="B172" s="11" t="s">
        <v>17</v>
      </c>
      <c r="C172" s="12"/>
      <c r="D172" s="13"/>
      <c r="E172" s="12"/>
      <c r="F172" s="14"/>
      <c r="G172" s="12"/>
      <c r="H172" s="14"/>
      <c r="I172" s="12"/>
      <c r="J172" s="14"/>
      <c r="K172" s="12"/>
      <c r="L172" s="14"/>
      <c r="M172" s="12"/>
      <c r="N172" s="14"/>
      <c r="O172" s="12"/>
      <c r="P172" s="14"/>
      <c r="Q172" s="12"/>
      <c r="R172" s="12"/>
      <c r="S172" s="10"/>
      <c r="T172" s="10"/>
    </row>
    <row r="173" spans="1:20" x14ac:dyDescent="0.15">
      <c r="A173" s="26"/>
      <c r="B173" s="11" t="s">
        <v>18</v>
      </c>
      <c r="C173" s="12"/>
      <c r="D173" s="13"/>
      <c r="E173" s="12"/>
      <c r="F173" s="14"/>
      <c r="G173" s="12"/>
      <c r="H173" s="14"/>
      <c r="I173" s="12"/>
      <c r="J173" s="14"/>
      <c r="K173" s="12"/>
      <c r="L173" s="14"/>
      <c r="M173" s="12"/>
      <c r="N173" s="14"/>
      <c r="O173" s="12"/>
      <c r="P173" s="14"/>
      <c r="Q173" s="12"/>
      <c r="R173" s="12"/>
      <c r="S173" s="10"/>
      <c r="T173" s="10"/>
    </row>
    <row r="174" spans="1:20" x14ac:dyDescent="0.15">
      <c r="A174" s="26"/>
      <c r="B174" s="11" t="s">
        <v>19</v>
      </c>
      <c r="C174" s="12"/>
      <c r="D174" s="13"/>
      <c r="E174" s="12"/>
      <c r="F174" s="14"/>
      <c r="G174" s="12"/>
      <c r="H174" s="14"/>
      <c r="I174" s="12"/>
      <c r="J174" s="14"/>
      <c r="K174" s="12"/>
      <c r="L174" s="14"/>
      <c r="M174" s="12"/>
      <c r="N174" s="14"/>
      <c r="O174" s="12"/>
      <c r="P174" s="14"/>
      <c r="Q174" s="12"/>
      <c r="R174" s="12"/>
      <c r="S174" s="10"/>
      <c r="T174" s="10"/>
    </row>
    <row r="175" spans="1:20" x14ac:dyDescent="0.15">
      <c r="A175" s="27"/>
      <c r="B175" s="11" t="s">
        <v>20</v>
      </c>
      <c r="C175" s="12"/>
      <c r="D175" s="13"/>
      <c r="E175" s="12"/>
      <c r="F175" s="14"/>
      <c r="G175" s="12"/>
      <c r="H175" s="14"/>
      <c r="I175" s="12"/>
      <c r="J175" s="14"/>
      <c r="K175" s="12"/>
      <c r="L175" s="14"/>
      <c r="M175" s="12"/>
      <c r="N175" s="14"/>
      <c r="O175" s="12"/>
      <c r="P175" s="14"/>
      <c r="Q175" s="12"/>
      <c r="R175" s="12"/>
      <c r="S175" s="10"/>
      <c r="T175" s="10"/>
    </row>
    <row r="176" spans="1:20" x14ac:dyDescent="0.15">
      <c r="A176" s="25" t="s">
        <v>54</v>
      </c>
      <c r="B176" s="6" t="s">
        <v>16</v>
      </c>
      <c r="C176" s="7"/>
      <c r="D176" s="8"/>
      <c r="E176" s="7"/>
      <c r="F176" s="9"/>
      <c r="G176" s="7"/>
      <c r="H176" s="9"/>
      <c r="I176" s="7"/>
      <c r="J176" s="9"/>
      <c r="K176" s="7"/>
      <c r="L176" s="9"/>
      <c r="M176" s="7"/>
      <c r="N176" s="9"/>
      <c r="O176" s="7"/>
      <c r="P176" s="9"/>
      <c r="Q176" s="7"/>
      <c r="R176" s="7"/>
      <c r="S176" s="10"/>
      <c r="T176" s="10"/>
    </row>
    <row r="177" spans="1:20" x14ac:dyDescent="0.15">
      <c r="A177" s="26"/>
      <c r="B177" s="11" t="s">
        <v>17</v>
      </c>
      <c r="C177" s="12"/>
      <c r="D177" s="13"/>
      <c r="E177" s="12"/>
      <c r="F177" s="14"/>
      <c r="G177" s="12"/>
      <c r="H177" s="14"/>
      <c r="I177" s="12"/>
      <c r="J177" s="14"/>
      <c r="K177" s="12"/>
      <c r="L177" s="14"/>
      <c r="M177" s="12"/>
      <c r="N177" s="14"/>
      <c r="O177" s="12"/>
      <c r="P177" s="14"/>
      <c r="Q177" s="12"/>
      <c r="R177" s="12"/>
      <c r="S177" s="10"/>
      <c r="T177" s="10"/>
    </row>
    <row r="178" spans="1:20" x14ac:dyDescent="0.15">
      <c r="A178" s="26"/>
      <c r="B178" s="11" t="s">
        <v>18</v>
      </c>
      <c r="C178" s="12"/>
      <c r="D178" s="13"/>
      <c r="E178" s="12"/>
      <c r="F178" s="14"/>
      <c r="G178" s="12"/>
      <c r="H178" s="14"/>
      <c r="I178" s="12"/>
      <c r="J178" s="14"/>
      <c r="K178" s="12"/>
      <c r="L178" s="14"/>
      <c r="M178" s="12"/>
      <c r="N178" s="14"/>
      <c r="O178" s="12"/>
      <c r="P178" s="14"/>
      <c r="Q178" s="12"/>
      <c r="R178" s="12"/>
      <c r="S178" s="10"/>
      <c r="T178" s="10"/>
    </row>
    <row r="179" spans="1:20" x14ac:dyDescent="0.15">
      <c r="A179" s="26"/>
      <c r="B179" s="11" t="s">
        <v>19</v>
      </c>
      <c r="C179" s="12"/>
      <c r="D179" s="13"/>
      <c r="E179" s="12"/>
      <c r="F179" s="14"/>
      <c r="G179" s="12"/>
      <c r="H179" s="14"/>
      <c r="I179" s="12"/>
      <c r="J179" s="14"/>
      <c r="K179" s="12"/>
      <c r="L179" s="14"/>
      <c r="M179" s="12"/>
      <c r="N179" s="14"/>
      <c r="O179" s="12"/>
      <c r="P179" s="14"/>
      <c r="Q179" s="12"/>
      <c r="R179" s="12"/>
      <c r="S179" s="10"/>
      <c r="T179" s="10"/>
    </row>
    <row r="180" spans="1:20" x14ac:dyDescent="0.15">
      <c r="A180" s="27"/>
      <c r="B180" s="11" t="s">
        <v>20</v>
      </c>
      <c r="C180" s="12"/>
      <c r="D180" s="13"/>
      <c r="E180" s="12"/>
      <c r="F180" s="14"/>
      <c r="G180" s="12"/>
      <c r="H180" s="14"/>
      <c r="I180" s="12"/>
      <c r="J180" s="14"/>
      <c r="K180" s="12"/>
      <c r="L180" s="14"/>
      <c r="M180" s="12"/>
      <c r="N180" s="14"/>
      <c r="O180" s="12"/>
      <c r="P180" s="14"/>
      <c r="Q180" s="12"/>
      <c r="R180" s="12"/>
      <c r="S180" s="10"/>
      <c r="T180" s="10"/>
    </row>
    <row r="181" spans="1:20" x14ac:dyDescent="0.15">
      <c r="A181" s="25" t="s">
        <v>55</v>
      </c>
      <c r="B181" s="6" t="s">
        <v>16</v>
      </c>
      <c r="C181" s="7"/>
      <c r="D181" s="8"/>
      <c r="E181" s="7"/>
      <c r="F181" s="9"/>
      <c r="G181" s="7"/>
      <c r="H181" s="9"/>
      <c r="I181" s="7"/>
      <c r="J181" s="9"/>
      <c r="K181" s="7"/>
      <c r="L181" s="9"/>
      <c r="M181" s="7"/>
      <c r="N181" s="9"/>
      <c r="O181" s="7"/>
      <c r="P181" s="9"/>
      <c r="Q181" s="7"/>
      <c r="R181" s="7"/>
      <c r="S181" s="10"/>
      <c r="T181" s="10"/>
    </row>
    <row r="182" spans="1:20" x14ac:dyDescent="0.15">
      <c r="A182" s="26"/>
      <c r="B182" s="11" t="s">
        <v>17</v>
      </c>
      <c r="C182" s="12"/>
      <c r="D182" s="13"/>
      <c r="E182" s="12"/>
      <c r="F182" s="14"/>
      <c r="G182" s="12"/>
      <c r="H182" s="14"/>
      <c r="I182" s="12"/>
      <c r="J182" s="14"/>
      <c r="K182" s="12"/>
      <c r="L182" s="14"/>
      <c r="M182" s="12"/>
      <c r="N182" s="14"/>
      <c r="O182" s="12"/>
      <c r="P182" s="14"/>
      <c r="Q182" s="12"/>
      <c r="R182" s="12"/>
      <c r="S182" s="10"/>
      <c r="T182" s="10"/>
    </row>
    <row r="183" spans="1:20" x14ac:dyDescent="0.15">
      <c r="A183" s="26"/>
      <c r="B183" s="11" t="s">
        <v>18</v>
      </c>
      <c r="C183" s="12"/>
      <c r="D183" s="13"/>
      <c r="E183" s="12"/>
      <c r="F183" s="14"/>
      <c r="G183" s="12"/>
      <c r="H183" s="14"/>
      <c r="I183" s="12"/>
      <c r="J183" s="14"/>
      <c r="K183" s="12"/>
      <c r="L183" s="14"/>
      <c r="M183" s="12"/>
      <c r="N183" s="14"/>
      <c r="O183" s="12"/>
      <c r="P183" s="14"/>
      <c r="Q183" s="12"/>
      <c r="R183" s="12"/>
      <c r="S183" s="10"/>
      <c r="T183" s="10"/>
    </row>
    <row r="184" spans="1:20" x14ac:dyDescent="0.15">
      <c r="A184" s="26"/>
      <c r="B184" s="11" t="s">
        <v>19</v>
      </c>
      <c r="C184" s="12"/>
      <c r="D184" s="13"/>
      <c r="E184" s="12"/>
      <c r="F184" s="14"/>
      <c r="G184" s="12"/>
      <c r="H184" s="14"/>
      <c r="I184" s="12"/>
      <c r="J184" s="14"/>
      <c r="K184" s="12"/>
      <c r="L184" s="14"/>
      <c r="M184" s="12"/>
      <c r="N184" s="14"/>
      <c r="O184" s="12"/>
      <c r="P184" s="14"/>
      <c r="Q184" s="12"/>
      <c r="R184" s="12"/>
      <c r="S184" s="10"/>
      <c r="T184" s="10"/>
    </row>
    <row r="185" spans="1:20" x14ac:dyDescent="0.15">
      <c r="A185" s="27"/>
      <c r="B185" s="11" t="s">
        <v>20</v>
      </c>
      <c r="C185" s="12"/>
      <c r="D185" s="13"/>
      <c r="E185" s="12"/>
      <c r="F185" s="14"/>
      <c r="G185" s="12"/>
      <c r="H185" s="14"/>
      <c r="I185" s="12"/>
      <c r="J185" s="14"/>
      <c r="K185" s="12"/>
      <c r="L185" s="14"/>
      <c r="M185" s="12"/>
      <c r="N185" s="14"/>
      <c r="O185" s="12"/>
      <c r="P185" s="14"/>
      <c r="Q185" s="12"/>
      <c r="R185" s="12"/>
      <c r="S185" s="10"/>
      <c r="T185" s="10"/>
    </row>
    <row r="186" spans="1:20" x14ac:dyDescent="0.15">
      <c r="A186" s="25" t="s">
        <v>56</v>
      </c>
      <c r="B186" s="6" t="s">
        <v>16</v>
      </c>
      <c r="C186" s="7"/>
      <c r="D186" s="8"/>
      <c r="E186" s="7"/>
      <c r="F186" s="9"/>
      <c r="G186" s="7"/>
      <c r="H186" s="9"/>
      <c r="I186" s="7"/>
      <c r="J186" s="9"/>
      <c r="K186" s="7"/>
      <c r="L186" s="9"/>
      <c r="M186" s="7"/>
      <c r="N186" s="9"/>
      <c r="O186" s="7"/>
      <c r="P186" s="9"/>
      <c r="Q186" s="7"/>
      <c r="R186" s="7"/>
      <c r="S186" s="10"/>
      <c r="T186" s="10"/>
    </row>
    <row r="187" spans="1:20" x14ac:dyDescent="0.15">
      <c r="A187" s="26"/>
      <c r="B187" s="11" t="s">
        <v>17</v>
      </c>
      <c r="C187" s="12"/>
      <c r="D187" s="13"/>
      <c r="E187" s="12"/>
      <c r="F187" s="14"/>
      <c r="G187" s="12"/>
      <c r="H187" s="14"/>
      <c r="I187" s="12"/>
      <c r="J187" s="14"/>
      <c r="K187" s="12"/>
      <c r="L187" s="14"/>
      <c r="M187" s="12"/>
      <c r="N187" s="14"/>
      <c r="O187" s="12"/>
      <c r="P187" s="14"/>
      <c r="Q187" s="12"/>
      <c r="R187" s="12"/>
      <c r="S187" s="10"/>
      <c r="T187" s="10"/>
    </row>
    <row r="188" spans="1:20" x14ac:dyDescent="0.15">
      <c r="A188" s="26"/>
      <c r="B188" s="11" t="s">
        <v>18</v>
      </c>
      <c r="C188" s="12"/>
      <c r="D188" s="13"/>
      <c r="E188" s="12"/>
      <c r="F188" s="14"/>
      <c r="G188" s="12"/>
      <c r="H188" s="14"/>
      <c r="I188" s="12"/>
      <c r="J188" s="14"/>
      <c r="K188" s="12"/>
      <c r="L188" s="14"/>
      <c r="M188" s="12"/>
      <c r="N188" s="14"/>
      <c r="O188" s="12"/>
      <c r="P188" s="14"/>
      <c r="Q188" s="12"/>
      <c r="R188" s="12"/>
      <c r="S188" s="10"/>
      <c r="T188" s="10"/>
    </row>
    <row r="189" spans="1:20" x14ac:dyDescent="0.15">
      <c r="A189" s="26"/>
      <c r="B189" s="11" t="s">
        <v>19</v>
      </c>
      <c r="C189" s="12"/>
      <c r="D189" s="13"/>
      <c r="E189" s="12"/>
      <c r="F189" s="14"/>
      <c r="G189" s="12"/>
      <c r="H189" s="14"/>
      <c r="I189" s="12"/>
      <c r="J189" s="14"/>
      <c r="K189" s="12"/>
      <c r="L189" s="14"/>
      <c r="M189" s="12"/>
      <c r="N189" s="14"/>
      <c r="O189" s="12"/>
      <c r="P189" s="14"/>
      <c r="Q189" s="12"/>
      <c r="R189" s="12"/>
      <c r="S189" s="10"/>
      <c r="T189" s="10"/>
    </row>
    <row r="190" spans="1:20" x14ac:dyDescent="0.15">
      <c r="A190" s="27"/>
      <c r="B190" s="11" t="s">
        <v>20</v>
      </c>
      <c r="C190" s="12"/>
      <c r="D190" s="13"/>
      <c r="E190" s="12"/>
      <c r="F190" s="14"/>
      <c r="G190" s="12"/>
      <c r="H190" s="14"/>
      <c r="I190" s="12"/>
      <c r="J190" s="14"/>
      <c r="K190" s="12"/>
      <c r="L190" s="14"/>
      <c r="M190" s="12"/>
      <c r="N190" s="14"/>
      <c r="O190" s="12"/>
      <c r="P190" s="14"/>
      <c r="Q190" s="12"/>
      <c r="R190" s="12"/>
      <c r="S190" s="10"/>
      <c r="T190" s="10"/>
    </row>
    <row r="191" spans="1:20" x14ac:dyDescent="0.15">
      <c r="A191" s="25" t="s">
        <v>57</v>
      </c>
      <c r="B191" s="6" t="s">
        <v>16</v>
      </c>
      <c r="C191" s="7"/>
      <c r="D191" s="8"/>
      <c r="E191" s="7"/>
      <c r="F191" s="9"/>
      <c r="G191" s="7"/>
      <c r="H191" s="9"/>
      <c r="I191" s="7"/>
      <c r="J191" s="9"/>
      <c r="K191" s="7"/>
      <c r="L191" s="9"/>
      <c r="M191" s="7"/>
      <c r="N191" s="9"/>
      <c r="O191" s="7"/>
      <c r="P191" s="9"/>
      <c r="Q191" s="7"/>
      <c r="R191" s="7"/>
      <c r="S191" s="10"/>
      <c r="T191" s="10"/>
    </row>
    <row r="192" spans="1:20" x14ac:dyDescent="0.15">
      <c r="A192" s="26"/>
      <c r="B192" s="11" t="s">
        <v>17</v>
      </c>
      <c r="C192" s="12"/>
      <c r="D192" s="13"/>
      <c r="E192" s="12"/>
      <c r="F192" s="14"/>
      <c r="G192" s="12"/>
      <c r="H192" s="14"/>
      <c r="I192" s="12"/>
      <c r="J192" s="14"/>
      <c r="K192" s="12"/>
      <c r="L192" s="14"/>
      <c r="M192" s="12"/>
      <c r="N192" s="14"/>
      <c r="O192" s="12"/>
      <c r="P192" s="14"/>
      <c r="Q192" s="12"/>
      <c r="R192" s="12"/>
      <c r="S192" s="10"/>
      <c r="T192" s="10"/>
    </row>
    <row r="193" spans="1:20" x14ac:dyDescent="0.15">
      <c r="A193" s="26"/>
      <c r="B193" s="11" t="s">
        <v>18</v>
      </c>
      <c r="C193" s="12"/>
      <c r="D193" s="13"/>
      <c r="E193" s="12"/>
      <c r="F193" s="14"/>
      <c r="G193" s="12"/>
      <c r="H193" s="14"/>
      <c r="I193" s="12"/>
      <c r="J193" s="14"/>
      <c r="K193" s="12"/>
      <c r="L193" s="14"/>
      <c r="M193" s="12"/>
      <c r="N193" s="14"/>
      <c r="O193" s="12"/>
      <c r="P193" s="14"/>
      <c r="Q193" s="12"/>
      <c r="R193" s="12"/>
      <c r="S193" s="10"/>
      <c r="T193" s="10"/>
    </row>
    <row r="194" spans="1:20" x14ac:dyDescent="0.15">
      <c r="A194" s="26"/>
      <c r="B194" s="11" t="s">
        <v>19</v>
      </c>
      <c r="C194" s="12"/>
      <c r="D194" s="13"/>
      <c r="E194" s="12"/>
      <c r="F194" s="14"/>
      <c r="G194" s="12"/>
      <c r="H194" s="14"/>
      <c r="I194" s="12"/>
      <c r="J194" s="14"/>
      <c r="K194" s="12"/>
      <c r="L194" s="14"/>
      <c r="M194" s="12"/>
      <c r="N194" s="14"/>
      <c r="O194" s="12"/>
      <c r="P194" s="14"/>
      <c r="Q194" s="12"/>
      <c r="R194" s="12"/>
      <c r="S194" s="10"/>
      <c r="T194" s="10"/>
    </row>
    <row r="195" spans="1:20" x14ac:dyDescent="0.15">
      <c r="A195" s="27"/>
      <c r="B195" s="11" t="s">
        <v>20</v>
      </c>
      <c r="C195" s="12"/>
      <c r="D195" s="13"/>
      <c r="E195" s="12"/>
      <c r="F195" s="14"/>
      <c r="G195" s="12"/>
      <c r="H195" s="14"/>
      <c r="I195" s="12"/>
      <c r="J195" s="14"/>
      <c r="K195" s="12"/>
      <c r="L195" s="14"/>
      <c r="M195" s="12"/>
      <c r="N195" s="14"/>
      <c r="O195" s="12"/>
      <c r="P195" s="14"/>
      <c r="Q195" s="12"/>
      <c r="R195" s="12"/>
      <c r="S195" s="10"/>
      <c r="T195" s="10"/>
    </row>
    <row r="196" spans="1:20" x14ac:dyDescent="0.15">
      <c r="A196" s="25" t="s">
        <v>58</v>
      </c>
      <c r="B196" s="6" t="s">
        <v>16</v>
      </c>
      <c r="C196" s="7"/>
      <c r="D196" s="8"/>
      <c r="E196" s="7"/>
      <c r="F196" s="9"/>
      <c r="G196" s="7"/>
      <c r="H196" s="9"/>
      <c r="I196" s="7"/>
      <c r="J196" s="9"/>
      <c r="K196" s="7"/>
      <c r="L196" s="9"/>
      <c r="M196" s="7"/>
      <c r="N196" s="9"/>
      <c r="O196" s="7"/>
      <c r="P196" s="9"/>
      <c r="Q196" s="7"/>
      <c r="R196" s="7"/>
      <c r="S196" s="10"/>
      <c r="T196" s="10"/>
    </row>
    <row r="197" spans="1:20" x14ac:dyDescent="0.15">
      <c r="A197" s="26"/>
      <c r="B197" s="11" t="s">
        <v>17</v>
      </c>
      <c r="C197" s="12"/>
      <c r="D197" s="13"/>
      <c r="E197" s="12"/>
      <c r="F197" s="14"/>
      <c r="G197" s="12"/>
      <c r="H197" s="14"/>
      <c r="I197" s="12"/>
      <c r="J197" s="14"/>
      <c r="K197" s="12"/>
      <c r="L197" s="14"/>
      <c r="M197" s="12"/>
      <c r="N197" s="14"/>
      <c r="O197" s="12"/>
      <c r="P197" s="14"/>
      <c r="Q197" s="12"/>
      <c r="R197" s="12"/>
      <c r="S197" s="10"/>
      <c r="T197" s="10"/>
    </row>
    <row r="198" spans="1:20" x14ac:dyDescent="0.15">
      <c r="A198" s="26"/>
      <c r="B198" s="11" t="s">
        <v>18</v>
      </c>
      <c r="C198" s="12"/>
      <c r="D198" s="13"/>
      <c r="E198" s="12"/>
      <c r="F198" s="14"/>
      <c r="G198" s="12"/>
      <c r="H198" s="14"/>
      <c r="I198" s="12"/>
      <c r="J198" s="14"/>
      <c r="K198" s="12"/>
      <c r="L198" s="14"/>
      <c r="M198" s="12"/>
      <c r="N198" s="14"/>
      <c r="O198" s="12"/>
      <c r="P198" s="14"/>
      <c r="Q198" s="12"/>
      <c r="R198" s="12"/>
      <c r="S198" s="10"/>
      <c r="T198" s="10"/>
    </row>
    <row r="199" spans="1:20" x14ac:dyDescent="0.15">
      <c r="A199" s="26"/>
      <c r="B199" s="11" t="s">
        <v>19</v>
      </c>
      <c r="C199" s="12"/>
      <c r="D199" s="13"/>
      <c r="E199" s="12"/>
      <c r="F199" s="14"/>
      <c r="G199" s="12"/>
      <c r="H199" s="14"/>
      <c r="I199" s="12"/>
      <c r="J199" s="14"/>
      <c r="K199" s="12"/>
      <c r="L199" s="14"/>
      <c r="M199" s="12"/>
      <c r="N199" s="14"/>
      <c r="O199" s="12"/>
      <c r="P199" s="14"/>
      <c r="Q199" s="12"/>
      <c r="R199" s="12"/>
      <c r="S199" s="10"/>
      <c r="T199" s="10"/>
    </row>
    <row r="200" spans="1:20" x14ac:dyDescent="0.15">
      <c r="A200" s="27"/>
      <c r="B200" s="15" t="s">
        <v>20</v>
      </c>
      <c r="C200" s="16"/>
      <c r="D200" s="17"/>
      <c r="E200" s="16"/>
      <c r="F200" s="18"/>
      <c r="G200" s="16"/>
      <c r="H200" s="18"/>
      <c r="I200" s="16"/>
      <c r="J200" s="18"/>
      <c r="K200" s="16"/>
      <c r="L200" s="18"/>
      <c r="M200" s="16"/>
      <c r="N200" s="18"/>
      <c r="O200" s="16"/>
      <c r="P200" s="18"/>
      <c r="Q200" s="16"/>
      <c r="R200" s="16"/>
      <c r="S200" s="10"/>
      <c r="T200" s="10"/>
    </row>
    <row r="201" spans="1:20" x14ac:dyDescent="0.15">
      <c r="A201" s="25" t="s">
        <v>59</v>
      </c>
      <c r="B201" s="6" t="s">
        <v>16</v>
      </c>
      <c r="C201" s="7"/>
      <c r="D201" s="8"/>
      <c r="E201" s="7"/>
      <c r="F201" s="9"/>
      <c r="G201" s="7"/>
      <c r="H201" s="9"/>
      <c r="I201" s="7"/>
      <c r="J201" s="9"/>
      <c r="K201" s="7"/>
      <c r="L201" s="9"/>
      <c r="M201" s="7"/>
      <c r="N201" s="9"/>
      <c r="O201" s="7"/>
      <c r="P201" s="9"/>
      <c r="Q201" s="7"/>
      <c r="R201" s="7"/>
      <c r="S201" s="10"/>
      <c r="T201" s="10"/>
    </row>
    <row r="202" spans="1:20" x14ac:dyDescent="0.15">
      <c r="A202" s="26"/>
      <c r="B202" s="11" t="s">
        <v>17</v>
      </c>
      <c r="C202" s="12"/>
      <c r="D202" s="13"/>
      <c r="E202" s="12"/>
      <c r="F202" s="14"/>
      <c r="G202" s="12"/>
      <c r="H202" s="14"/>
      <c r="I202" s="12"/>
      <c r="J202" s="14"/>
      <c r="K202" s="12"/>
      <c r="L202" s="14"/>
      <c r="M202" s="12"/>
      <c r="N202" s="14"/>
      <c r="O202" s="12"/>
      <c r="P202" s="14"/>
      <c r="Q202" s="12"/>
      <c r="R202" s="12"/>
      <c r="S202" s="10"/>
      <c r="T202" s="10"/>
    </row>
    <row r="203" spans="1:20" x14ac:dyDescent="0.15">
      <c r="A203" s="26"/>
      <c r="B203" s="11" t="s">
        <v>18</v>
      </c>
      <c r="C203" s="12"/>
      <c r="D203" s="13"/>
      <c r="E203" s="12"/>
      <c r="F203" s="14"/>
      <c r="G203" s="12"/>
      <c r="H203" s="14"/>
      <c r="I203" s="12"/>
      <c r="J203" s="14"/>
      <c r="K203" s="12"/>
      <c r="L203" s="14"/>
      <c r="M203" s="12"/>
      <c r="N203" s="14"/>
      <c r="O203" s="12"/>
      <c r="P203" s="14"/>
      <c r="Q203" s="12"/>
      <c r="R203" s="12"/>
      <c r="S203" s="10"/>
      <c r="T203" s="10"/>
    </row>
    <row r="204" spans="1:20" x14ac:dyDescent="0.15">
      <c r="A204" s="26"/>
      <c r="B204" s="11" t="s">
        <v>19</v>
      </c>
      <c r="C204" s="12"/>
      <c r="D204" s="13"/>
      <c r="E204" s="12"/>
      <c r="F204" s="14"/>
      <c r="G204" s="12"/>
      <c r="H204" s="14"/>
      <c r="I204" s="12"/>
      <c r="J204" s="14"/>
      <c r="K204" s="12"/>
      <c r="L204" s="14"/>
      <c r="M204" s="12"/>
      <c r="N204" s="14"/>
      <c r="O204" s="12"/>
      <c r="P204" s="14"/>
      <c r="Q204" s="12"/>
      <c r="R204" s="12"/>
      <c r="S204" s="10"/>
      <c r="T204" s="10"/>
    </row>
    <row r="205" spans="1:20" x14ac:dyDescent="0.15">
      <c r="A205" s="27"/>
      <c r="B205" s="11" t="s">
        <v>20</v>
      </c>
      <c r="C205" s="12"/>
      <c r="D205" s="13"/>
      <c r="E205" s="12"/>
      <c r="F205" s="14"/>
      <c r="G205" s="12"/>
      <c r="H205" s="14"/>
      <c r="I205" s="12"/>
      <c r="J205" s="14"/>
      <c r="K205" s="12"/>
      <c r="L205" s="14"/>
      <c r="M205" s="12"/>
      <c r="N205" s="14"/>
      <c r="O205" s="12"/>
      <c r="P205" s="14"/>
      <c r="Q205" s="12"/>
      <c r="R205" s="12"/>
      <c r="S205" s="10"/>
      <c r="T205" s="10"/>
    </row>
    <row r="206" spans="1:20" x14ac:dyDescent="0.15">
      <c r="A206" s="25" t="s">
        <v>60</v>
      </c>
      <c r="B206" s="6" t="s">
        <v>16</v>
      </c>
      <c r="C206" s="7"/>
      <c r="D206" s="8"/>
      <c r="E206" s="7"/>
      <c r="F206" s="9"/>
      <c r="G206" s="7"/>
      <c r="H206" s="9"/>
      <c r="I206" s="7"/>
      <c r="J206" s="9"/>
      <c r="K206" s="7"/>
      <c r="L206" s="9"/>
      <c r="M206" s="7"/>
      <c r="N206" s="9"/>
      <c r="O206" s="7"/>
      <c r="P206" s="9"/>
      <c r="Q206" s="7"/>
      <c r="R206" s="7"/>
      <c r="S206" s="10"/>
      <c r="T206" s="10"/>
    </row>
    <row r="207" spans="1:20" x14ac:dyDescent="0.15">
      <c r="A207" s="26"/>
      <c r="B207" s="11" t="s">
        <v>17</v>
      </c>
      <c r="C207" s="12"/>
      <c r="D207" s="13"/>
      <c r="E207" s="12"/>
      <c r="F207" s="14"/>
      <c r="G207" s="12"/>
      <c r="H207" s="14"/>
      <c r="I207" s="12"/>
      <c r="J207" s="14"/>
      <c r="K207" s="12"/>
      <c r="L207" s="14"/>
      <c r="M207" s="12"/>
      <c r="N207" s="14"/>
      <c r="O207" s="12"/>
      <c r="P207" s="14"/>
      <c r="Q207" s="12"/>
      <c r="R207" s="12"/>
      <c r="S207" s="10"/>
      <c r="T207" s="10"/>
    </row>
    <row r="208" spans="1:20" x14ac:dyDescent="0.15">
      <c r="A208" s="26"/>
      <c r="B208" s="11" t="s">
        <v>18</v>
      </c>
      <c r="C208" s="12"/>
      <c r="D208" s="13"/>
      <c r="E208" s="12"/>
      <c r="F208" s="14"/>
      <c r="G208" s="12"/>
      <c r="H208" s="14"/>
      <c r="I208" s="12"/>
      <c r="J208" s="14"/>
      <c r="K208" s="12"/>
      <c r="L208" s="14"/>
      <c r="M208" s="12"/>
      <c r="N208" s="14"/>
      <c r="O208" s="12"/>
      <c r="P208" s="14"/>
      <c r="Q208" s="12"/>
      <c r="R208" s="12"/>
      <c r="S208" s="10"/>
      <c r="T208" s="10"/>
    </row>
    <row r="209" spans="1:20" x14ac:dyDescent="0.15">
      <c r="A209" s="26"/>
      <c r="B209" s="11" t="s">
        <v>19</v>
      </c>
      <c r="C209" s="12"/>
      <c r="D209" s="13"/>
      <c r="E209" s="12"/>
      <c r="F209" s="14"/>
      <c r="G209" s="12"/>
      <c r="H209" s="14"/>
      <c r="I209" s="12"/>
      <c r="J209" s="14"/>
      <c r="K209" s="12"/>
      <c r="L209" s="14"/>
      <c r="M209" s="12"/>
      <c r="N209" s="14"/>
      <c r="O209" s="12"/>
      <c r="P209" s="14"/>
      <c r="Q209" s="12"/>
      <c r="R209" s="12"/>
      <c r="S209" s="10"/>
      <c r="T209" s="10"/>
    </row>
    <row r="210" spans="1:20" x14ac:dyDescent="0.15">
      <c r="A210" s="27"/>
      <c r="B210" s="11" t="s">
        <v>20</v>
      </c>
      <c r="C210" s="12"/>
      <c r="D210" s="13"/>
      <c r="E210" s="12"/>
      <c r="F210" s="14"/>
      <c r="G210" s="12"/>
      <c r="H210" s="14"/>
      <c r="I210" s="12"/>
      <c r="J210" s="14"/>
      <c r="K210" s="12"/>
      <c r="L210" s="14"/>
      <c r="M210" s="12"/>
      <c r="N210" s="14"/>
      <c r="O210" s="12"/>
      <c r="P210" s="14"/>
      <c r="Q210" s="12"/>
      <c r="R210" s="12"/>
      <c r="S210" s="10"/>
      <c r="T210" s="10"/>
    </row>
    <row r="211" spans="1:20" x14ac:dyDescent="0.15">
      <c r="A211" s="25" t="s">
        <v>61</v>
      </c>
      <c r="B211" s="6" t="s">
        <v>16</v>
      </c>
      <c r="C211" s="7"/>
      <c r="D211" s="8"/>
      <c r="E211" s="7"/>
      <c r="F211" s="9"/>
      <c r="G211" s="7"/>
      <c r="H211" s="9"/>
      <c r="I211" s="7"/>
      <c r="J211" s="9"/>
      <c r="K211" s="7"/>
      <c r="L211" s="9"/>
      <c r="M211" s="7"/>
      <c r="N211" s="9"/>
      <c r="O211" s="7"/>
      <c r="P211" s="9"/>
      <c r="Q211" s="7"/>
      <c r="R211" s="7"/>
      <c r="S211" s="10"/>
      <c r="T211" s="10"/>
    </row>
    <row r="212" spans="1:20" x14ac:dyDescent="0.15">
      <c r="A212" s="26"/>
      <c r="B212" s="11" t="s">
        <v>17</v>
      </c>
      <c r="C212" s="12"/>
      <c r="D212" s="13"/>
      <c r="E212" s="12"/>
      <c r="F212" s="14"/>
      <c r="G212" s="12"/>
      <c r="H212" s="14"/>
      <c r="I212" s="12"/>
      <c r="J212" s="14"/>
      <c r="K212" s="12"/>
      <c r="L212" s="14"/>
      <c r="M212" s="12"/>
      <c r="N212" s="14"/>
      <c r="O212" s="12"/>
      <c r="P212" s="14"/>
      <c r="Q212" s="12"/>
      <c r="R212" s="12"/>
      <c r="S212" s="10"/>
      <c r="T212" s="10"/>
    </row>
    <row r="213" spans="1:20" x14ac:dyDescent="0.15">
      <c r="A213" s="26"/>
      <c r="B213" s="11" t="s">
        <v>18</v>
      </c>
      <c r="C213" s="12"/>
      <c r="D213" s="13"/>
      <c r="E213" s="12"/>
      <c r="F213" s="14"/>
      <c r="G213" s="12"/>
      <c r="H213" s="14"/>
      <c r="I213" s="12"/>
      <c r="J213" s="14"/>
      <c r="K213" s="12"/>
      <c r="L213" s="14"/>
      <c r="M213" s="12"/>
      <c r="N213" s="14"/>
      <c r="O213" s="12"/>
      <c r="P213" s="14"/>
      <c r="Q213" s="12"/>
      <c r="R213" s="12"/>
      <c r="S213" s="10"/>
      <c r="T213" s="10"/>
    </row>
    <row r="214" spans="1:20" x14ac:dyDescent="0.15">
      <c r="A214" s="26"/>
      <c r="B214" s="11" t="s">
        <v>19</v>
      </c>
      <c r="C214" s="12"/>
      <c r="D214" s="13"/>
      <c r="E214" s="12"/>
      <c r="F214" s="14"/>
      <c r="G214" s="12"/>
      <c r="H214" s="14"/>
      <c r="I214" s="12"/>
      <c r="J214" s="14"/>
      <c r="K214" s="12"/>
      <c r="L214" s="14"/>
      <c r="M214" s="12"/>
      <c r="N214" s="14"/>
      <c r="O214" s="12"/>
      <c r="P214" s="14"/>
      <c r="Q214" s="12"/>
      <c r="R214" s="12"/>
      <c r="S214" s="10"/>
      <c r="T214" s="10"/>
    </row>
    <row r="215" spans="1:20" x14ac:dyDescent="0.15">
      <c r="A215" s="27"/>
      <c r="B215" s="11" t="s">
        <v>20</v>
      </c>
      <c r="C215" s="12"/>
      <c r="D215" s="13"/>
      <c r="E215" s="12"/>
      <c r="F215" s="14"/>
      <c r="G215" s="12"/>
      <c r="H215" s="14"/>
      <c r="I215" s="12"/>
      <c r="J215" s="14"/>
      <c r="K215" s="12"/>
      <c r="L215" s="14"/>
      <c r="M215" s="12"/>
      <c r="N215" s="14"/>
      <c r="O215" s="12"/>
      <c r="P215" s="14"/>
      <c r="Q215" s="12"/>
      <c r="R215" s="12"/>
      <c r="S215" s="10"/>
      <c r="T215" s="10"/>
    </row>
    <row r="216" spans="1:20" x14ac:dyDescent="0.15">
      <c r="A216" s="25" t="s">
        <v>62</v>
      </c>
      <c r="B216" s="6" t="s">
        <v>16</v>
      </c>
      <c r="C216" s="7"/>
      <c r="D216" s="8"/>
      <c r="E216" s="7"/>
      <c r="F216" s="9"/>
      <c r="G216" s="7"/>
      <c r="H216" s="9"/>
      <c r="I216" s="7"/>
      <c r="J216" s="9"/>
      <c r="K216" s="7"/>
      <c r="L216" s="9"/>
      <c r="M216" s="7"/>
      <c r="N216" s="9"/>
      <c r="O216" s="7"/>
      <c r="P216" s="9"/>
      <c r="Q216" s="7"/>
      <c r="R216" s="7"/>
      <c r="S216" s="10"/>
      <c r="T216" s="10"/>
    </row>
    <row r="217" spans="1:20" x14ac:dyDescent="0.15">
      <c r="A217" s="26"/>
      <c r="B217" s="11" t="s">
        <v>17</v>
      </c>
      <c r="C217" s="12"/>
      <c r="D217" s="13"/>
      <c r="E217" s="12"/>
      <c r="F217" s="14"/>
      <c r="G217" s="12"/>
      <c r="H217" s="14"/>
      <c r="I217" s="12"/>
      <c r="J217" s="14"/>
      <c r="K217" s="12"/>
      <c r="L217" s="14"/>
      <c r="M217" s="12"/>
      <c r="N217" s="14"/>
      <c r="O217" s="12"/>
      <c r="P217" s="14"/>
      <c r="Q217" s="12"/>
      <c r="R217" s="12"/>
      <c r="S217" s="10"/>
      <c r="T217" s="10"/>
    </row>
    <row r="218" spans="1:20" x14ac:dyDescent="0.15">
      <c r="A218" s="26"/>
      <c r="B218" s="11" t="s">
        <v>18</v>
      </c>
      <c r="C218" s="12"/>
      <c r="D218" s="13"/>
      <c r="E218" s="12"/>
      <c r="F218" s="14"/>
      <c r="G218" s="12"/>
      <c r="H218" s="14"/>
      <c r="I218" s="12"/>
      <c r="J218" s="14"/>
      <c r="K218" s="12"/>
      <c r="L218" s="14"/>
      <c r="M218" s="12"/>
      <c r="N218" s="14"/>
      <c r="O218" s="12"/>
      <c r="P218" s="14"/>
      <c r="Q218" s="12"/>
      <c r="R218" s="12"/>
      <c r="S218" s="10"/>
      <c r="T218" s="10"/>
    </row>
    <row r="219" spans="1:20" x14ac:dyDescent="0.15">
      <c r="A219" s="26"/>
      <c r="B219" s="11" t="s">
        <v>19</v>
      </c>
      <c r="C219" s="12"/>
      <c r="D219" s="13"/>
      <c r="E219" s="12"/>
      <c r="F219" s="14"/>
      <c r="G219" s="12"/>
      <c r="H219" s="14"/>
      <c r="I219" s="12"/>
      <c r="J219" s="14"/>
      <c r="K219" s="12"/>
      <c r="L219" s="14"/>
      <c r="M219" s="12"/>
      <c r="N219" s="14"/>
      <c r="O219" s="12"/>
      <c r="P219" s="14"/>
      <c r="Q219" s="12"/>
      <c r="R219" s="12"/>
      <c r="S219" s="10"/>
      <c r="T219" s="10"/>
    </row>
    <row r="220" spans="1:20" x14ac:dyDescent="0.15">
      <c r="A220" s="27"/>
      <c r="B220" s="11" t="s">
        <v>20</v>
      </c>
      <c r="C220" s="12"/>
      <c r="D220" s="13"/>
      <c r="E220" s="12"/>
      <c r="F220" s="14"/>
      <c r="G220" s="12"/>
      <c r="H220" s="14"/>
      <c r="I220" s="12"/>
      <c r="J220" s="14"/>
      <c r="K220" s="12"/>
      <c r="L220" s="14"/>
      <c r="M220" s="12"/>
      <c r="N220" s="14"/>
      <c r="O220" s="12"/>
      <c r="P220" s="14"/>
      <c r="Q220" s="12"/>
      <c r="R220" s="12"/>
      <c r="S220" s="10"/>
      <c r="T220" s="10"/>
    </row>
    <row r="221" spans="1:20" x14ac:dyDescent="0.15">
      <c r="A221" s="25" t="s">
        <v>63</v>
      </c>
      <c r="B221" s="6" t="s">
        <v>16</v>
      </c>
      <c r="C221" s="7"/>
      <c r="D221" s="8"/>
      <c r="E221" s="7"/>
      <c r="F221" s="9"/>
      <c r="G221" s="7"/>
      <c r="H221" s="9"/>
      <c r="I221" s="7"/>
      <c r="J221" s="9"/>
      <c r="K221" s="7"/>
      <c r="L221" s="9"/>
      <c r="M221" s="7"/>
      <c r="N221" s="9"/>
      <c r="O221" s="7"/>
      <c r="P221" s="9"/>
      <c r="Q221" s="7"/>
      <c r="R221" s="7"/>
      <c r="S221" s="10"/>
      <c r="T221" s="10"/>
    </row>
    <row r="222" spans="1:20" x14ac:dyDescent="0.15">
      <c r="A222" s="26"/>
      <c r="B222" s="11" t="s">
        <v>17</v>
      </c>
      <c r="C222" s="12"/>
      <c r="D222" s="13"/>
      <c r="E222" s="12"/>
      <c r="F222" s="14"/>
      <c r="G222" s="12"/>
      <c r="H222" s="14"/>
      <c r="I222" s="12"/>
      <c r="J222" s="14"/>
      <c r="K222" s="12"/>
      <c r="L222" s="14"/>
      <c r="M222" s="12"/>
      <c r="N222" s="14"/>
      <c r="O222" s="12"/>
      <c r="P222" s="14"/>
      <c r="Q222" s="12"/>
      <c r="R222" s="12"/>
      <c r="S222" s="10"/>
      <c r="T222" s="10"/>
    </row>
    <row r="223" spans="1:20" x14ac:dyDescent="0.15">
      <c r="A223" s="26"/>
      <c r="B223" s="11" t="s">
        <v>18</v>
      </c>
      <c r="C223" s="12"/>
      <c r="D223" s="13"/>
      <c r="E223" s="12"/>
      <c r="F223" s="14"/>
      <c r="G223" s="12"/>
      <c r="H223" s="14"/>
      <c r="I223" s="12"/>
      <c r="J223" s="14"/>
      <c r="K223" s="12"/>
      <c r="L223" s="14"/>
      <c r="M223" s="12"/>
      <c r="N223" s="14"/>
      <c r="O223" s="12"/>
      <c r="P223" s="14"/>
      <c r="Q223" s="12"/>
      <c r="R223" s="12"/>
      <c r="S223" s="10"/>
      <c r="T223" s="10"/>
    </row>
    <row r="224" spans="1:20" x14ac:dyDescent="0.15">
      <c r="A224" s="26"/>
      <c r="B224" s="11" t="s">
        <v>19</v>
      </c>
      <c r="C224" s="12"/>
      <c r="D224" s="13"/>
      <c r="E224" s="12"/>
      <c r="F224" s="14"/>
      <c r="G224" s="12"/>
      <c r="H224" s="14"/>
      <c r="I224" s="12"/>
      <c r="J224" s="14"/>
      <c r="K224" s="12"/>
      <c r="L224" s="14"/>
      <c r="M224" s="12"/>
      <c r="N224" s="14"/>
      <c r="O224" s="12"/>
      <c r="P224" s="14"/>
      <c r="Q224" s="12"/>
      <c r="R224" s="12"/>
      <c r="S224" s="10"/>
      <c r="T224" s="10"/>
    </row>
    <row r="225" spans="1:20" x14ac:dyDescent="0.15">
      <c r="A225" s="27"/>
      <c r="B225" s="15" t="s">
        <v>20</v>
      </c>
      <c r="C225" s="16"/>
      <c r="D225" s="17"/>
      <c r="E225" s="16"/>
      <c r="F225" s="18"/>
      <c r="G225" s="16"/>
      <c r="H225" s="18"/>
      <c r="I225" s="16"/>
      <c r="J225" s="18"/>
      <c r="K225" s="16"/>
      <c r="L225" s="18"/>
      <c r="M225" s="16"/>
      <c r="N225" s="18"/>
      <c r="O225" s="16"/>
      <c r="P225" s="18"/>
      <c r="Q225" s="16"/>
      <c r="R225" s="16"/>
      <c r="S225" s="10"/>
      <c r="T225" s="10"/>
    </row>
    <row r="226" spans="1:20" x14ac:dyDescent="0.15">
      <c r="A226" s="25" t="s">
        <v>64</v>
      </c>
      <c r="B226" s="6" t="s">
        <v>16</v>
      </c>
      <c r="C226" s="7"/>
      <c r="D226" s="8"/>
      <c r="E226" s="7"/>
      <c r="F226" s="9"/>
      <c r="G226" s="7"/>
      <c r="H226" s="9"/>
      <c r="I226" s="7"/>
      <c r="J226" s="9"/>
      <c r="K226" s="7"/>
      <c r="L226" s="9"/>
      <c r="M226" s="7"/>
      <c r="N226" s="9"/>
      <c r="O226" s="7"/>
      <c r="P226" s="9"/>
      <c r="Q226" s="7"/>
      <c r="R226" s="7"/>
      <c r="S226" s="10"/>
      <c r="T226" s="10"/>
    </row>
    <row r="227" spans="1:20" x14ac:dyDescent="0.15">
      <c r="A227" s="26"/>
      <c r="B227" s="11" t="s">
        <v>17</v>
      </c>
      <c r="C227" s="12"/>
      <c r="D227" s="13"/>
      <c r="E227" s="12"/>
      <c r="F227" s="14"/>
      <c r="G227" s="12"/>
      <c r="H227" s="14"/>
      <c r="I227" s="12"/>
      <c r="J227" s="14"/>
      <c r="K227" s="12"/>
      <c r="L227" s="14"/>
      <c r="M227" s="12"/>
      <c r="N227" s="14"/>
      <c r="O227" s="12"/>
      <c r="P227" s="14"/>
      <c r="Q227" s="12"/>
      <c r="R227" s="12"/>
      <c r="S227" s="10"/>
      <c r="T227" s="10"/>
    </row>
    <row r="228" spans="1:20" x14ac:dyDescent="0.15">
      <c r="A228" s="26"/>
      <c r="B228" s="11" t="s">
        <v>18</v>
      </c>
      <c r="C228" s="12"/>
      <c r="D228" s="13"/>
      <c r="E228" s="12"/>
      <c r="F228" s="14"/>
      <c r="G228" s="12"/>
      <c r="H228" s="14"/>
      <c r="I228" s="12"/>
      <c r="J228" s="14"/>
      <c r="K228" s="12"/>
      <c r="L228" s="14"/>
      <c r="M228" s="12"/>
      <c r="N228" s="14"/>
      <c r="O228" s="12"/>
      <c r="P228" s="14"/>
      <c r="Q228" s="12"/>
      <c r="R228" s="12"/>
      <c r="S228" s="10"/>
      <c r="T228" s="10"/>
    </row>
    <row r="229" spans="1:20" x14ac:dyDescent="0.15">
      <c r="A229" s="26"/>
      <c r="B229" s="11" t="s">
        <v>19</v>
      </c>
      <c r="C229" s="12"/>
      <c r="D229" s="13"/>
      <c r="E229" s="12"/>
      <c r="F229" s="14"/>
      <c r="G229" s="12"/>
      <c r="H229" s="14"/>
      <c r="I229" s="12"/>
      <c r="J229" s="14"/>
      <c r="K229" s="12"/>
      <c r="L229" s="14"/>
      <c r="M229" s="12"/>
      <c r="N229" s="14"/>
      <c r="O229" s="12"/>
      <c r="P229" s="14"/>
      <c r="Q229" s="12"/>
      <c r="R229" s="12"/>
      <c r="S229" s="10"/>
      <c r="T229" s="10"/>
    </row>
    <row r="230" spans="1:20" x14ac:dyDescent="0.15">
      <c r="A230" s="27"/>
      <c r="B230" s="11" t="s">
        <v>20</v>
      </c>
      <c r="C230" s="12"/>
      <c r="D230" s="13"/>
      <c r="E230" s="12"/>
      <c r="F230" s="14"/>
      <c r="G230" s="12"/>
      <c r="H230" s="14"/>
      <c r="I230" s="12"/>
      <c r="J230" s="14"/>
      <c r="K230" s="12"/>
      <c r="L230" s="14"/>
      <c r="M230" s="12"/>
      <c r="N230" s="14"/>
      <c r="O230" s="12"/>
      <c r="P230" s="14"/>
      <c r="Q230" s="12"/>
      <c r="R230" s="12"/>
      <c r="S230" s="10"/>
      <c r="T230" s="10"/>
    </row>
    <row r="231" spans="1:20" x14ac:dyDescent="0.15">
      <c r="A231" s="25" t="s">
        <v>65</v>
      </c>
      <c r="B231" s="6" t="s">
        <v>16</v>
      </c>
      <c r="C231" s="7"/>
      <c r="D231" s="8"/>
      <c r="E231" s="7"/>
      <c r="F231" s="9"/>
      <c r="G231" s="7"/>
      <c r="H231" s="9"/>
      <c r="I231" s="7"/>
      <c r="J231" s="9"/>
      <c r="K231" s="7"/>
      <c r="L231" s="9"/>
      <c r="M231" s="7"/>
      <c r="N231" s="9"/>
      <c r="O231" s="7"/>
      <c r="P231" s="9"/>
      <c r="Q231" s="7"/>
      <c r="R231" s="7"/>
      <c r="S231" s="10"/>
      <c r="T231" s="10"/>
    </row>
    <row r="232" spans="1:20" x14ac:dyDescent="0.15">
      <c r="A232" s="26"/>
      <c r="B232" s="11" t="s">
        <v>17</v>
      </c>
      <c r="C232" s="12"/>
      <c r="D232" s="13"/>
      <c r="E232" s="12"/>
      <c r="F232" s="14"/>
      <c r="G232" s="12"/>
      <c r="H232" s="14"/>
      <c r="I232" s="12"/>
      <c r="J232" s="14"/>
      <c r="K232" s="12"/>
      <c r="L232" s="14"/>
      <c r="M232" s="12"/>
      <c r="N232" s="14"/>
      <c r="O232" s="12"/>
      <c r="P232" s="14"/>
      <c r="Q232" s="12"/>
      <c r="R232" s="12"/>
      <c r="S232" s="10"/>
      <c r="T232" s="10"/>
    </row>
    <row r="233" spans="1:20" x14ac:dyDescent="0.15">
      <c r="A233" s="26"/>
      <c r="B233" s="11" t="s">
        <v>18</v>
      </c>
      <c r="C233" s="12"/>
      <c r="D233" s="13"/>
      <c r="E233" s="12"/>
      <c r="F233" s="14"/>
      <c r="G233" s="12"/>
      <c r="H233" s="14"/>
      <c r="I233" s="12"/>
      <c r="J233" s="14"/>
      <c r="K233" s="12"/>
      <c r="L233" s="14"/>
      <c r="M233" s="12"/>
      <c r="N233" s="14"/>
      <c r="O233" s="12"/>
      <c r="P233" s="14"/>
      <c r="Q233" s="12"/>
      <c r="R233" s="12"/>
      <c r="S233" s="10"/>
      <c r="T233" s="10"/>
    </row>
    <row r="234" spans="1:20" x14ac:dyDescent="0.15">
      <c r="A234" s="26"/>
      <c r="B234" s="11" t="s">
        <v>19</v>
      </c>
      <c r="C234" s="12"/>
      <c r="D234" s="13"/>
      <c r="E234" s="12"/>
      <c r="F234" s="14"/>
      <c r="G234" s="12"/>
      <c r="H234" s="14"/>
      <c r="I234" s="12"/>
      <c r="J234" s="14"/>
      <c r="K234" s="12"/>
      <c r="L234" s="14"/>
      <c r="M234" s="12"/>
      <c r="N234" s="14"/>
      <c r="O234" s="12"/>
      <c r="P234" s="14"/>
      <c r="Q234" s="12"/>
      <c r="R234" s="12"/>
      <c r="S234" s="10"/>
      <c r="T234" s="10"/>
    </row>
    <row r="235" spans="1:20" x14ac:dyDescent="0.15">
      <c r="A235" s="27"/>
      <c r="B235" s="11" t="s">
        <v>20</v>
      </c>
      <c r="C235" s="12"/>
      <c r="D235" s="13"/>
      <c r="E235" s="12"/>
      <c r="F235" s="14"/>
      <c r="G235" s="12"/>
      <c r="H235" s="14"/>
      <c r="I235" s="12"/>
      <c r="J235" s="14"/>
      <c r="K235" s="12"/>
      <c r="L235" s="14"/>
      <c r="M235" s="12"/>
      <c r="N235" s="14"/>
      <c r="O235" s="12"/>
      <c r="P235" s="14"/>
      <c r="Q235" s="12"/>
      <c r="R235" s="12"/>
      <c r="S235" s="10"/>
      <c r="T235" s="10"/>
    </row>
    <row r="236" spans="1:20" x14ac:dyDescent="0.15">
      <c r="A236" s="25" t="s">
        <v>66</v>
      </c>
      <c r="B236" s="6" t="s">
        <v>16</v>
      </c>
      <c r="C236" s="7"/>
      <c r="D236" s="8"/>
      <c r="E236" s="7"/>
      <c r="F236" s="9"/>
      <c r="G236" s="7"/>
      <c r="H236" s="9"/>
      <c r="I236" s="7"/>
      <c r="J236" s="9"/>
      <c r="K236" s="7"/>
      <c r="L236" s="9"/>
      <c r="M236" s="7"/>
      <c r="N236" s="9"/>
      <c r="O236" s="7"/>
      <c r="P236" s="9"/>
      <c r="Q236" s="7"/>
      <c r="R236" s="7"/>
      <c r="S236" s="10"/>
      <c r="T236" s="10"/>
    </row>
    <row r="237" spans="1:20" x14ac:dyDescent="0.15">
      <c r="A237" s="26"/>
      <c r="B237" s="11" t="s">
        <v>17</v>
      </c>
      <c r="C237" s="12"/>
      <c r="D237" s="13"/>
      <c r="E237" s="12"/>
      <c r="F237" s="14"/>
      <c r="G237" s="12"/>
      <c r="H237" s="14"/>
      <c r="I237" s="12"/>
      <c r="J237" s="14"/>
      <c r="K237" s="12"/>
      <c r="L237" s="14"/>
      <c r="M237" s="12"/>
      <c r="N237" s="14"/>
      <c r="O237" s="12"/>
      <c r="P237" s="14"/>
      <c r="Q237" s="12"/>
      <c r="R237" s="12"/>
      <c r="S237" s="10"/>
      <c r="T237" s="10"/>
    </row>
    <row r="238" spans="1:20" x14ac:dyDescent="0.15">
      <c r="A238" s="26"/>
      <c r="B238" s="11" t="s">
        <v>18</v>
      </c>
      <c r="C238" s="12"/>
      <c r="D238" s="13"/>
      <c r="E238" s="12"/>
      <c r="F238" s="14"/>
      <c r="G238" s="12"/>
      <c r="H238" s="14"/>
      <c r="I238" s="12"/>
      <c r="J238" s="14"/>
      <c r="K238" s="12"/>
      <c r="L238" s="14"/>
      <c r="M238" s="12"/>
      <c r="N238" s="14"/>
      <c r="O238" s="12"/>
      <c r="P238" s="14"/>
      <c r="Q238" s="12"/>
      <c r="R238" s="12"/>
      <c r="S238" s="10"/>
      <c r="T238" s="10"/>
    </row>
    <row r="239" spans="1:20" x14ac:dyDescent="0.15">
      <c r="A239" s="26"/>
      <c r="B239" s="11" t="s">
        <v>19</v>
      </c>
      <c r="C239" s="12"/>
      <c r="D239" s="13"/>
      <c r="E239" s="12"/>
      <c r="F239" s="14"/>
      <c r="G239" s="12"/>
      <c r="H239" s="14"/>
      <c r="I239" s="12"/>
      <c r="J239" s="14"/>
      <c r="K239" s="12"/>
      <c r="L239" s="14"/>
      <c r="M239" s="12"/>
      <c r="N239" s="14"/>
      <c r="O239" s="12"/>
      <c r="P239" s="14"/>
      <c r="Q239" s="12"/>
      <c r="R239" s="12"/>
      <c r="S239" s="10"/>
      <c r="T239" s="10"/>
    </row>
    <row r="240" spans="1:20" x14ac:dyDescent="0.15">
      <c r="A240" s="27"/>
      <c r="B240" s="15" t="s">
        <v>20</v>
      </c>
      <c r="C240" s="16"/>
      <c r="D240" s="17"/>
      <c r="E240" s="16"/>
      <c r="F240" s="18"/>
      <c r="G240" s="16"/>
      <c r="H240" s="18"/>
      <c r="I240" s="16"/>
      <c r="J240" s="18"/>
      <c r="K240" s="16"/>
      <c r="L240" s="18"/>
      <c r="M240" s="16"/>
      <c r="N240" s="18"/>
      <c r="O240" s="16"/>
      <c r="P240" s="18"/>
      <c r="Q240" s="16"/>
      <c r="R240" s="16"/>
      <c r="S240" s="10"/>
      <c r="T240" s="10"/>
    </row>
  </sheetData>
  <sheetProtection formatCells="0" formatColumns="0" formatRows="0" autoFilter="0"/>
  <mergeCells count="52">
    <mergeCell ref="A6:A10"/>
    <mergeCell ref="A2:A5"/>
    <mergeCell ref="B2:B5"/>
    <mergeCell ref="C2:R2"/>
    <mergeCell ref="C3:J3"/>
    <mergeCell ref="K3:R3"/>
    <mergeCell ref="A66:A70"/>
    <mergeCell ref="A11:A15"/>
    <mergeCell ref="A16:A20"/>
    <mergeCell ref="A21:A25"/>
    <mergeCell ref="A26:A30"/>
    <mergeCell ref="A31:A35"/>
    <mergeCell ref="A36:A40"/>
    <mergeCell ref="A41:A45"/>
    <mergeCell ref="A46:A50"/>
    <mergeCell ref="A51:A55"/>
    <mergeCell ref="A56:A60"/>
    <mergeCell ref="A61:A65"/>
    <mergeCell ref="A126:A130"/>
    <mergeCell ref="A71:A75"/>
    <mergeCell ref="A76:A80"/>
    <mergeCell ref="A81:A85"/>
    <mergeCell ref="A86:A90"/>
    <mergeCell ref="A91:A95"/>
    <mergeCell ref="A96:A100"/>
    <mergeCell ref="A101:A105"/>
    <mergeCell ref="A106:A110"/>
    <mergeCell ref="A111:A115"/>
    <mergeCell ref="A116:A120"/>
    <mergeCell ref="A121:A125"/>
    <mergeCell ref="A186:A190"/>
    <mergeCell ref="A131:A135"/>
    <mergeCell ref="A136:A140"/>
    <mergeCell ref="A141:A145"/>
    <mergeCell ref="A146:A150"/>
    <mergeCell ref="A151:A155"/>
    <mergeCell ref="A156:A160"/>
    <mergeCell ref="A161:A165"/>
    <mergeCell ref="A166:A170"/>
    <mergeCell ref="A171:A175"/>
    <mergeCell ref="A176:A180"/>
    <mergeCell ref="A181:A185"/>
    <mergeCell ref="A221:A225"/>
    <mergeCell ref="A226:A230"/>
    <mergeCell ref="A231:A235"/>
    <mergeCell ref="A236:A240"/>
    <mergeCell ref="A191:A195"/>
    <mergeCell ref="A196:A200"/>
    <mergeCell ref="A201:A205"/>
    <mergeCell ref="A206:A210"/>
    <mergeCell ref="A211:A215"/>
    <mergeCell ref="A216:A220"/>
  </mergeCells>
  <phoneticPr fontId="2"/>
  <printOptions horizontalCentered="1"/>
  <pageMargins left="0.19685039370078741" right="0.19685039370078741" top="0.78740157480314965" bottom="0.19685039370078741" header="0.31496062992125984" footer="0.31496062992125984"/>
  <pageSetup paperSize="9" scale="66" orientation="landscape" horizontalDpi="1200" verticalDpi="1200" r:id="rId1"/>
  <rowBreaks count="4" manualBreakCount="4">
    <brk id="60" max="17" man="1"/>
    <brk id="115" max="17" man="1"/>
    <brk id="170" max="17" man="1"/>
    <brk id="225" max="17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7BAC0-4795-4335-A3A3-E3F5CC377191}">
  <sheetPr codeName="Sheet5"/>
  <dimension ref="A1:T287"/>
  <sheetViews>
    <sheetView view="pageBreakPreview" zoomScale="86" zoomScaleNormal="100" zoomScaleSheetLayoutView="86" workbookViewId="0">
      <selection activeCell="E29" sqref="E29"/>
    </sheetView>
  </sheetViews>
  <sheetFormatPr defaultColWidth="9" defaultRowHeight="13.5" x14ac:dyDescent="0.15"/>
  <cols>
    <col min="1" max="1" width="11.75" style="1" bestFit="1" customWidth="1"/>
    <col min="2" max="2" width="18.5" style="1" bestFit="1" customWidth="1"/>
    <col min="3" max="9" width="10.625" style="1" customWidth="1"/>
    <col min="10" max="10" width="10.75" style="1" customWidth="1"/>
    <col min="11" max="17" width="10.625" style="1" customWidth="1"/>
    <col min="18" max="18" width="10.75" style="1" customWidth="1"/>
    <col min="19" max="16384" width="9" style="1"/>
  </cols>
  <sheetData>
    <row r="1" spans="1:20" x14ac:dyDescent="0.15">
      <c r="A1" s="1" t="s">
        <v>67</v>
      </c>
    </row>
    <row r="2" spans="1:20" ht="13.5" customHeight="1" x14ac:dyDescent="0.15">
      <c r="A2" s="29" t="s">
        <v>1</v>
      </c>
      <c r="B2" s="32" t="s">
        <v>68</v>
      </c>
      <c r="C2" s="35" t="s">
        <v>3</v>
      </c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20" x14ac:dyDescent="0.15">
      <c r="A3" s="30"/>
      <c r="B3" s="33"/>
      <c r="C3" s="35" t="s">
        <v>4</v>
      </c>
      <c r="D3" s="36"/>
      <c r="E3" s="36"/>
      <c r="F3" s="36"/>
      <c r="G3" s="36"/>
      <c r="H3" s="36"/>
      <c r="I3" s="36"/>
      <c r="J3" s="37"/>
      <c r="K3" s="35" t="s">
        <v>5</v>
      </c>
      <c r="L3" s="36"/>
      <c r="M3" s="36"/>
      <c r="N3" s="36"/>
      <c r="O3" s="36"/>
      <c r="P3" s="36"/>
      <c r="Q3" s="36"/>
      <c r="R3" s="37"/>
    </row>
    <row r="4" spans="1:20" s="3" customFormat="1" ht="27" customHeight="1" x14ac:dyDescent="0.15">
      <c r="A4" s="30"/>
      <c r="B4" s="33"/>
      <c r="C4" s="2" t="s">
        <v>6</v>
      </c>
      <c r="D4" s="2" t="s">
        <v>7</v>
      </c>
      <c r="E4" s="2" t="s">
        <v>8</v>
      </c>
      <c r="F4" s="2" t="s">
        <v>9</v>
      </c>
      <c r="G4" s="2" t="s">
        <v>10</v>
      </c>
      <c r="H4" s="2" t="s">
        <v>11</v>
      </c>
      <c r="I4" s="2" t="s">
        <v>12</v>
      </c>
      <c r="J4" s="2" t="s">
        <v>13</v>
      </c>
      <c r="K4" s="2" t="s">
        <v>6</v>
      </c>
      <c r="L4" s="2" t="s">
        <v>7</v>
      </c>
      <c r="M4" s="2" t="s">
        <v>8</v>
      </c>
      <c r="N4" s="2" t="s">
        <v>9</v>
      </c>
      <c r="O4" s="2" t="s">
        <v>10</v>
      </c>
      <c r="P4" s="2" t="s">
        <v>11</v>
      </c>
      <c r="Q4" s="2" t="s">
        <v>12</v>
      </c>
      <c r="R4" s="2" t="s">
        <v>13</v>
      </c>
    </row>
    <row r="5" spans="1:20" s="3" customFormat="1" x14ac:dyDescent="0.15">
      <c r="A5" s="31"/>
      <c r="B5" s="34"/>
      <c r="C5" s="4" t="s">
        <v>14</v>
      </c>
      <c r="D5" s="5" t="s">
        <v>14</v>
      </c>
      <c r="E5" s="4" t="s">
        <v>14</v>
      </c>
      <c r="F5" s="5" t="s">
        <v>14</v>
      </c>
      <c r="G5" s="4" t="s">
        <v>14</v>
      </c>
      <c r="H5" s="5" t="s">
        <v>14</v>
      </c>
      <c r="I5" s="4" t="s">
        <v>14</v>
      </c>
      <c r="J5" s="5" t="s">
        <v>14</v>
      </c>
      <c r="K5" s="4" t="s">
        <v>14</v>
      </c>
      <c r="L5" s="5" t="s">
        <v>14</v>
      </c>
      <c r="M5" s="4" t="s">
        <v>14</v>
      </c>
      <c r="N5" s="5" t="s">
        <v>14</v>
      </c>
      <c r="O5" s="4" t="s">
        <v>14</v>
      </c>
      <c r="P5" s="5" t="s">
        <v>14</v>
      </c>
      <c r="Q5" s="4" t="s">
        <v>14</v>
      </c>
      <c r="R5" s="4" t="s">
        <v>14</v>
      </c>
    </row>
    <row r="6" spans="1:20" x14ac:dyDescent="0.15">
      <c r="A6" s="25" t="s">
        <v>15</v>
      </c>
      <c r="B6" s="19" t="s">
        <v>69</v>
      </c>
      <c r="C6" s="7"/>
      <c r="D6" s="8"/>
      <c r="E6" s="7"/>
      <c r="F6" s="9"/>
      <c r="G6" s="7"/>
      <c r="H6" s="9"/>
      <c r="I6" s="7"/>
      <c r="J6" s="9"/>
      <c r="K6" s="7"/>
      <c r="L6" s="9"/>
      <c r="M6" s="7"/>
      <c r="N6" s="9"/>
      <c r="O6" s="7"/>
      <c r="P6" s="9"/>
      <c r="Q6" s="7"/>
      <c r="R6" s="7"/>
      <c r="S6" s="10"/>
      <c r="T6" s="10"/>
    </row>
    <row r="7" spans="1:20" x14ac:dyDescent="0.15">
      <c r="A7" s="26"/>
      <c r="B7" s="20" t="s">
        <v>70</v>
      </c>
      <c r="C7" s="12"/>
      <c r="D7" s="13"/>
      <c r="E7" s="12"/>
      <c r="F7" s="14"/>
      <c r="G7" s="12"/>
      <c r="H7" s="14"/>
      <c r="I7" s="12"/>
      <c r="J7" s="14"/>
      <c r="K7" s="12"/>
      <c r="L7" s="14"/>
      <c r="M7" s="12"/>
      <c r="N7" s="14"/>
      <c r="O7" s="12"/>
      <c r="P7" s="14"/>
      <c r="Q7" s="12"/>
      <c r="R7" s="12"/>
      <c r="S7" s="10"/>
      <c r="T7" s="10"/>
    </row>
    <row r="8" spans="1:20" x14ac:dyDescent="0.15">
      <c r="A8" s="26"/>
      <c r="B8" s="20" t="s">
        <v>71</v>
      </c>
      <c r="C8" s="12"/>
      <c r="D8" s="13"/>
      <c r="E8" s="12"/>
      <c r="F8" s="14"/>
      <c r="G8" s="12"/>
      <c r="H8" s="14"/>
      <c r="I8" s="12"/>
      <c r="J8" s="14"/>
      <c r="K8" s="12"/>
      <c r="L8" s="14"/>
      <c r="M8" s="12"/>
      <c r="N8" s="14"/>
      <c r="O8" s="12"/>
      <c r="P8" s="14"/>
      <c r="Q8" s="12"/>
      <c r="R8" s="12"/>
      <c r="S8" s="10"/>
      <c r="T8" s="10"/>
    </row>
    <row r="9" spans="1:20" x14ac:dyDescent="0.15">
      <c r="A9" s="26"/>
      <c r="B9" s="11" t="s">
        <v>72</v>
      </c>
      <c r="C9" s="12"/>
      <c r="D9" s="13"/>
      <c r="E9" s="12"/>
      <c r="F9" s="14"/>
      <c r="G9" s="12"/>
      <c r="H9" s="14"/>
      <c r="I9" s="12"/>
      <c r="J9" s="14"/>
      <c r="K9" s="12"/>
      <c r="L9" s="14"/>
      <c r="M9" s="12"/>
      <c r="N9" s="14"/>
      <c r="O9" s="12"/>
      <c r="P9" s="14"/>
      <c r="Q9" s="12"/>
      <c r="R9" s="12"/>
      <c r="S9" s="10"/>
      <c r="T9" s="10"/>
    </row>
    <row r="10" spans="1:20" x14ac:dyDescent="0.15">
      <c r="A10" s="26"/>
      <c r="B10" s="11" t="s">
        <v>73</v>
      </c>
      <c r="C10" s="12"/>
      <c r="D10" s="13"/>
      <c r="E10" s="12"/>
      <c r="F10" s="14"/>
      <c r="G10" s="12"/>
      <c r="H10" s="14"/>
      <c r="I10" s="12"/>
      <c r="J10" s="14"/>
      <c r="K10" s="12"/>
      <c r="L10" s="14"/>
      <c r="M10" s="12"/>
      <c r="N10" s="14"/>
      <c r="O10" s="12"/>
      <c r="P10" s="14"/>
      <c r="Q10" s="12"/>
      <c r="R10" s="12"/>
      <c r="S10" s="10"/>
      <c r="T10" s="10"/>
    </row>
    <row r="11" spans="1:20" x14ac:dyDescent="0.15">
      <c r="A11" s="27"/>
      <c r="B11" s="11" t="s">
        <v>74</v>
      </c>
      <c r="C11" s="12"/>
      <c r="D11" s="13"/>
      <c r="E11" s="12"/>
      <c r="F11" s="14"/>
      <c r="G11" s="12"/>
      <c r="H11" s="14"/>
      <c r="I11" s="12"/>
      <c r="J11" s="14"/>
      <c r="K11" s="12"/>
      <c r="L11" s="14"/>
      <c r="M11" s="12"/>
      <c r="N11" s="14"/>
      <c r="O11" s="12"/>
      <c r="P11" s="14"/>
      <c r="Q11" s="12"/>
      <c r="R11" s="12"/>
      <c r="S11" s="10"/>
      <c r="T11" s="10"/>
    </row>
    <row r="12" spans="1:20" x14ac:dyDescent="0.15">
      <c r="A12" s="25" t="s">
        <v>21</v>
      </c>
      <c r="B12" s="6" t="s">
        <v>69</v>
      </c>
      <c r="C12" s="7"/>
      <c r="D12" s="8"/>
      <c r="E12" s="7"/>
      <c r="F12" s="9"/>
      <c r="G12" s="7"/>
      <c r="H12" s="9"/>
      <c r="I12" s="7"/>
      <c r="J12" s="9"/>
      <c r="K12" s="7"/>
      <c r="L12" s="9"/>
      <c r="M12" s="7"/>
      <c r="N12" s="9"/>
      <c r="O12" s="7"/>
      <c r="P12" s="9"/>
      <c r="Q12" s="7"/>
      <c r="R12" s="7"/>
      <c r="S12" s="10"/>
      <c r="T12" s="10"/>
    </row>
    <row r="13" spans="1:20" x14ac:dyDescent="0.15">
      <c r="A13" s="26"/>
      <c r="B13" s="11" t="s">
        <v>70</v>
      </c>
      <c r="C13" s="12"/>
      <c r="D13" s="13"/>
      <c r="E13" s="12"/>
      <c r="F13" s="14"/>
      <c r="G13" s="12"/>
      <c r="H13" s="14"/>
      <c r="I13" s="12"/>
      <c r="J13" s="14"/>
      <c r="K13" s="12"/>
      <c r="L13" s="14"/>
      <c r="M13" s="12"/>
      <c r="N13" s="14"/>
      <c r="O13" s="12"/>
      <c r="P13" s="14"/>
      <c r="Q13" s="12"/>
      <c r="R13" s="12"/>
      <c r="S13" s="10"/>
      <c r="T13" s="10"/>
    </row>
    <row r="14" spans="1:20" x14ac:dyDescent="0.15">
      <c r="A14" s="26"/>
      <c r="B14" s="11" t="s">
        <v>71</v>
      </c>
      <c r="C14" s="12"/>
      <c r="D14" s="13"/>
      <c r="E14" s="12"/>
      <c r="F14" s="14"/>
      <c r="G14" s="12"/>
      <c r="H14" s="14"/>
      <c r="I14" s="12"/>
      <c r="J14" s="14"/>
      <c r="K14" s="12"/>
      <c r="L14" s="14"/>
      <c r="M14" s="12"/>
      <c r="N14" s="14"/>
      <c r="O14" s="12"/>
      <c r="P14" s="14"/>
      <c r="Q14" s="12"/>
      <c r="R14" s="12"/>
      <c r="S14" s="10"/>
      <c r="T14" s="10"/>
    </row>
    <row r="15" spans="1:20" x14ac:dyDescent="0.15">
      <c r="A15" s="26"/>
      <c r="B15" s="11" t="s">
        <v>72</v>
      </c>
      <c r="C15" s="12"/>
      <c r="D15" s="13"/>
      <c r="E15" s="12"/>
      <c r="F15" s="14"/>
      <c r="G15" s="12"/>
      <c r="H15" s="14"/>
      <c r="I15" s="12"/>
      <c r="J15" s="14"/>
      <c r="K15" s="12"/>
      <c r="L15" s="14"/>
      <c r="M15" s="12"/>
      <c r="N15" s="14"/>
      <c r="O15" s="12"/>
      <c r="P15" s="14"/>
      <c r="Q15" s="12"/>
      <c r="R15" s="12"/>
      <c r="S15" s="10"/>
      <c r="T15" s="10"/>
    </row>
    <row r="16" spans="1:20" x14ac:dyDescent="0.15">
      <c r="A16" s="26"/>
      <c r="B16" s="11" t="s">
        <v>73</v>
      </c>
      <c r="C16" s="12"/>
      <c r="D16" s="13"/>
      <c r="E16" s="12"/>
      <c r="F16" s="14"/>
      <c r="G16" s="12"/>
      <c r="H16" s="14"/>
      <c r="I16" s="12"/>
      <c r="J16" s="14"/>
      <c r="K16" s="12"/>
      <c r="L16" s="14"/>
      <c r="M16" s="12"/>
      <c r="N16" s="14"/>
      <c r="O16" s="12"/>
      <c r="P16" s="14"/>
      <c r="Q16" s="12"/>
      <c r="R16" s="12"/>
      <c r="S16" s="10"/>
      <c r="T16" s="10"/>
    </row>
    <row r="17" spans="1:20" x14ac:dyDescent="0.15">
      <c r="A17" s="27"/>
      <c r="B17" s="11" t="s">
        <v>74</v>
      </c>
      <c r="C17" s="12"/>
      <c r="D17" s="13"/>
      <c r="E17" s="12"/>
      <c r="F17" s="14"/>
      <c r="G17" s="12"/>
      <c r="H17" s="14"/>
      <c r="I17" s="12"/>
      <c r="J17" s="14"/>
      <c r="K17" s="12"/>
      <c r="L17" s="14"/>
      <c r="M17" s="12"/>
      <c r="N17" s="14"/>
      <c r="O17" s="12"/>
      <c r="P17" s="14"/>
      <c r="Q17" s="12"/>
      <c r="R17" s="12"/>
      <c r="S17" s="10"/>
      <c r="T17" s="10"/>
    </row>
    <row r="18" spans="1:20" x14ac:dyDescent="0.15">
      <c r="A18" s="25" t="s">
        <v>22</v>
      </c>
      <c r="B18" s="6" t="s">
        <v>69</v>
      </c>
      <c r="C18" s="7"/>
      <c r="D18" s="8"/>
      <c r="E18" s="7"/>
      <c r="F18" s="9"/>
      <c r="G18" s="7"/>
      <c r="H18" s="9"/>
      <c r="I18" s="7"/>
      <c r="J18" s="9"/>
      <c r="K18" s="7"/>
      <c r="L18" s="9"/>
      <c r="M18" s="7"/>
      <c r="N18" s="9"/>
      <c r="O18" s="7"/>
      <c r="P18" s="9"/>
      <c r="Q18" s="7"/>
      <c r="R18" s="7"/>
      <c r="S18" s="10"/>
      <c r="T18" s="10"/>
    </row>
    <row r="19" spans="1:20" x14ac:dyDescent="0.15">
      <c r="A19" s="26"/>
      <c r="B19" s="11" t="s">
        <v>70</v>
      </c>
      <c r="C19" s="12"/>
      <c r="D19" s="13"/>
      <c r="E19" s="12"/>
      <c r="F19" s="14"/>
      <c r="G19" s="12"/>
      <c r="H19" s="14"/>
      <c r="I19" s="12"/>
      <c r="J19" s="14"/>
      <c r="K19" s="12"/>
      <c r="L19" s="14"/>
      <c r="M19" s="12"/>
      <c r="N19" s="14"/>
      <c r="O19" s="12"/>
      <c r="P19" s="14"/>
      <c r="Q19" s="12"/>
      <c r="R19" s="12"/>
      <c r="S19" s="10"/>
      <c r="T19" s="10"/>
    </row>
    <row r="20" spans="1:20" x14ac:dyDescent="0.15">
      <c r="A20" s="26"/>
      <c r="B20" s="11" t="s">
        <v>71</v>
      </c>
      <c r="C20" s="12"/>
      <c r="D20" s="13"/>
      <c r="E20" s="12"/>
      <c r="F20" s="14"/>
      <c r="G20" s="12"/>
      <c r="H20" s="14"/>
      <c r="I20" s="12"/>
      <c r="J20" s="14"/>
      <c r="K20" s="12"/>
      <c r="L20" s="14"/>
      <c r="M20" s="12"/>
      <c r="N20" s="14"/>
      <c r="O20" s="12"/>
      <c r="P20" s="14"/>
      <c r="Q20" s="12"/>
      <c r="R20" s="12"/>
      <c r="S20" s="10"/>
      <c r="T20" s="10"/>
    </row>
    <row r="21" spans="1:20" x14ac:dyDescent="0.15">
      <c r="A21" s="26"/>
      <c r="B21" s="11" t="s">
        <v>72</v>
      </c>
      <c r="C21" s="12"/>
      <c r="D21" s="13"/>
      <c r="E21" s="12"/>
      <c r="F21" s="14"/>
      <c r="G21" s="12"/>
      <c r="H21" s="14"/>
      <c r="I21" s="12"/>
      <c r="J21" s="14"/>
      <c r="K21" s="12"/>
      <c r="L21" s="14"/>
      <c r="M21" s="12"/>
      <c r="N21" s="14"/>
      <c r="O21" s="12"/>
      <c r="P21" s="14"/>
      <c r="Q21" s="12"/>
      <c r="R21" s="12"/>
      <c r="S21" s="10"/>
      <c r="T21" s="10"/>
    </row>
    <row r="22" spans="1:20" x14ac:dyDescent="0.15">
      <c r="A22" s="26"/>
      <c r="B22" s="11" t="s">
        <v>73</v>
      </c>
      <c r="C22" s="12"/>
      <c r="D22" s="13"/>
      <c r="E22" s="12"/>
      <c r="F22" s="14"/>
      <c r="G22" s="12"/>
      <c r="H22" s="14"/>
      <c r="I22" s="12"/>
      <c r="J22" s="14"/>
      <c r="K22" s="12"/>
      <c r="L22" s="14"/>
      <c r="M22" s="12"/>
      <c r="N22" s="14"/>
      <c r="O22" s="12"/>
      <c r="P22" s="14"/>
      <c r="Q22" s="12"/>
      <c r="R22" s="12"/>
      <c r="S22" s="10"/>
      <c r="T22" s="10"/>
    </row>
    <row r="23" spans="1:20" x14ac:dyDescent="0.15">
      <c r="A23" s="27"/>
      <c r="B23" s="11" t="s">
        <v>74</v>
      </c>
      <c r="C23" s="12"/>
      <c r="D23" s="13"/>
      <c r="E23" s="12"/>
      <c r="F23" s="14"/>
      <c r="G23" s="12"/>
      <c r="H23" s="14"/>
      <c r="I23" s="12"/>
      <c r="J23" s="14"/>
      <c r="K23" s="12"/>
      <c r="L23" s="14"/>
      <c r="M23" s="12"/>
      <c r="N23" s="14"/>
      <c r="O23" s="12"/>
      <c r="P23" s="14"/>
      <c r="Q23" s="12"/>
      <c r="R23" s="12"/>
      <c r="S23" s="10"/>
      <c r="T23" s="10"/>
    </row>
    <row r="24" spans="1:20" x14ac:dyDescent="0.15">
      <c r="A24" s="25" t="s">
        <v>23</v>
      </c>
      <c r="B24" s="6" t="s">
        <v>69</v>
      </c>
      <c r="C24" s="7"/>
      <c r="D24" s="8"/>
      <c r="E24" s="7"/>
      <c r="F24" s="9"/>
      <c r="G24" s="7"/>
      <c r="H24" s="9"/>
      <c r="I24" s="7"/>
      <c r="J24" s="9"/>
      <c r="K24" s="7"/>
      <c r="L24" s="9"/>
      <c r="M24" s="7"/>
      <c r="N24" s="9"/>
      <c r="O24" s="7"/>
      <c r="P24" s="9"/>
      <c r="Q24" s="7"/>
      <c r="R24" s="7"/>
      <c r="S24" s="10"/>
      <c r="T24" s="10"/>
    </row>
    <row r="25" spans="1:20" x14ac:dyDescent="0.15">
      <c r="A25" s="26"/>
      <c r="B25" s="11" t="s">
        <v>70</v>
      </c>
      <c r="C25" s="12"/>
      <c r="D25" s="13"/>
      <c r="E25" s="12"/>
      <c r="F25" s="14"/>
      <c r="G25" s="12"/>
      <c r="H25" s="14"/>
      <c r="I25" s="12"/>
      <c r="J25" s="14"/>
      <c r="K25" s="12"/>
      <c r="L25" s="14"/>
      <c r="M25" s="12"/>
      <c r="N25" s="14"/>
      <c r="O25" s="12"/>
      <c r="P25" s="14"/>
      <c r="Q25" s="12"/>
      <c r="R25" s="12"/>
      <c r="S25" s="10"/>
      <c r="T25" s="10"/>
    </row>
    <row r="26" spans="1:20" x14ac:dyDescent="0.15">
      <c r="A26" s="26"/>
      <c r="B26" s="11" t="s">
        <v>71</v>
      </c>
      <c r="C26" s="12"/>
      <c r="D26" s="13"/>
      <c r="E26" s="12"/>
      <c r="F26" s="14"/>
      <c r="G26" s="12"/>
      <c r="H26" s="14"/>
      <c r="I26" s="12"/>
      <c r="J26" s="14"/>
      <c r="K26" s="12"/>
      <c r="L26" s="14"/>
      <c r="M26" s="12"/>
      <c r="N26" s="14"/>
      <c r="O26" s="12"/>
      <c r="P26" s="14"/>
      <c r="Q26" s="12"/>
      <c r="R26" s="12"/>
      <c r="S26" s="10"/>
      <c r="T26" s="10"/>
    </row>
    <row r="27" spans="1:20" x14ac:dyDescent="0.15">
      <c r="A27" s="26"/>
      <c r="B27" s="11" t="s">
        <v>72</v>
      </c>
      <c r="C27" s="12"/>
      <c r="D27" s="13"/>
      <c r="E27" s="12"/>
      <c r="F27" s="14"/>
      <c r="G27" s="12"/>
      <c r="H27" s="14"/>
      <c r="I27" s="12"/>
      <c r="J27" s="14"/>
      <c r="K27" s="12"/>
      <c r="L27" s="14"/>
      <c r="M27" s="12"/>
      <c r="N27" s="14"/>
      <c r="O27" s="12"/>
      <c r="P27" s="14"/>
      <c r="Q27" s="12"/>
      <c r="R27" s="12"/>
      <c r="S27" s="10"/>
      <c r="T27" s="10"/>
    </row>
    <row r="28" spans="1:20" x14ac:dyDescent="0.15">
      <c r="A28" s="26"/>
      <c r="B28" s="11" t="s">
        <v>73</v>
      </c>
      <c r="C28" s="12"/>
      <c r="D28" s="13"/>
      <c r="E28" s="12"/>
      <c r="F28" s="14"/>
      <c r="G28" s="12"/>
      <c r="H28" s="14"/>
      <c r="I28" s="12"/>
      <c r="J28" s="14"/>
      <c r="K28" s="12"/>
      <c r="L28" s="14"/>
      <c r="M28" s="12"/>
      <c r="N28" s="14"/>
      <c r="O28" s="12"/>
      <c r="P28" s="14"/>
      <c r="Q28" s="12"/>
      <c r="R28" s="12"/>
      <c r="S28" s="10"/>
      <c r="T28" s="10"/>
    </row>
    <row r="29" spans="1:20" x14ac:dyDescent="0.15">
      <c r="A29" s="27"/>
      <c r="B29" s="11" t="s">
        <v>74</v>
      </c>
      <c r="C29" s="12"/>
      <c r="D29" s="13"/>
      <c r="E29" s="12"/>
      <c r="F29" s="14"/>
      <c r="G29" s="12"/>
      <c r="H29" s="14"/>
      <c r="I29" s="12"/>
      <c r="J29" s="14"/>
      <c r="K29" s="12"/>
      <c r="L29" s="14"/>
      <c r="M29" s="12"/>
      <c r="N29" s="14"/>
      <c r="O29" s="12"/>
      <c r="P29" s="14"/>
      <c r="Q29" s="12"/>
      <c r="R29" s="12"/>
      <c r="S29" s="10"/>
      <c r="T29" s="10"/>
    </row>
    <row r="30" spans="1:20" x14ac:dyDescent="0.15">
      <c r="A30" s="25" t="s">
        <v>24</v>
      </c>
      <c r="B30" s="6" t="s">
        <v>69</v>
      </c>
      <c r="C30" s="7"/>
      <c r="D30" s="8"/>
      <c r="E30" s="7"/>
      <c r="F30" s="9"/>
      <c r="G30" s="7"/>
      <c r="H30" s="9"/>
      <c r="I30" s="7"/>
      <c r="J30" s="9"/>
      <c r="K30" s="7"/>
      <c r="L30" s="9"/>
      <c r="M30" s="7"/>
      <c r="N30" s="9"/>
      <c r="O30" s="7"/>
      <c r="P30" s="9"/>
      <c r="Q30" s="7"/>
      <c r="R30" s="7"/>
      <c r="S30" s="10"/>
      <c r="T30" s="10"/>
    </row>
    <row r="31" spans="1:20" x14ac:dyDescent="0.15">
      <c r="A31" s="26"/>
      <c r="B31" s="11" t="s">
        <v>70</v>
      </c>
      <c r="C31" s="12"/>
      <c r="D31" s="13"/>
      <c r="E31" s="12"/>
      <c r="F31" s="14"/>
      <c r="G31" s="12"/>
      <c r="H31" s="14"/>
      <c r="I31" s="12"/>
      <c r="J31" s="14"/>
      <c r="K31" s="12"/>
      <c r="L31" s="14"/>
      <c r="M31" s="12"/>
      <c r="N31" s="14"/>
      <c r="O31" s="12"/>
      <c r="P31" s="14"/>
      <c r="Q31" s="12"/>
      <c r="R31" s="12"/>
      <c r="S31" s="10"/>
      <c r="T31" s="10"/>
    </row>
    <row r="32" spans="1:20" x14ac:dyDescent="0.15">
      <c r="A32" s="26"/>
      <c r="B32" s="11" t="s">
        <v>71</v>
      </c>
      <c r="C32" s="12"/>
      <c r="D32" s="13"/>
      <c r="E32" s="12"/>
      <c r="F32" s="14"/>
      <c r="G32" s="12"/>
      <c r="H32" s="14"/>
      <c r="I32" s="12"/>
      <c r="J32" s="14"/>
      <c r="K32" s="12"/>
      <c r="L32" s="14"/>
      <c r="M32" s="12"/>
      <c r="N32" s="14"/>
      <c r="O32" s="12"/>
      <c r="P32" s="14"/>
      <c r="Q32" s="12"/>
      <c r="R32" s="12"/>
      <c r="S32" s="10"/>
      <c r="T32" s="10"/>
    </row>
    <row r="33" spans="1:20" x14ac:dyDescent="0.15">
      <c r="A33" s="26"/>
      <c r="B33" s="11" t="s">
        <v>72</v>
      </c>
      <c r="C33" s="12"/>
      <c r="D33" s="13"/>
      <c r="E33" s="12"/>
      <c r="F33" s="14"/>
      <c r="G33" s="12"/>
      <c r="H33" s="14"/>
      <c r="I33" s="12"/>
      <c r="J33" s="14"/>
      <c r="K33" s="12"/>
      <c r="L33" s="14"/>
      <c r="M33" s="12"/>
      <c r="N33" s="14"/>
      <c r="O33" s="12"/>
      <c r="P33" s="14"/>
      <c r="Q33" s="12"/>
      <c r="R33" s="12"/>
      <c r="S33" s="10"/>
      <c r="T33" s="10"/>
    </row>
    <row r="34" spans="1:20" x14ac:dyDescent="0.15">
      <c r="A34" s="26"/>
      <c r="B34" s="11" t="s">
        <v>73</v>
      </c>
      <c r="C34" s="12"/>
      <c r="D34" s="13"/>
      <c r="E34" s="12"/>
      <c r="F34" s="14"/>
      <c r="G34" s="12"/>
      <c r="H34" s="14"/>
      <c r="I34" s="12"/>
      <c r="J34" s="14"/>
      <c r="K34" s="12"/>
      <c r="L34" s="14"/>
      <c r="M34" s="12"/>
      <c r="N34" s="14"/>
      <c r="O34" s="12"/>
      <c r="P34" s="14"/>
      <c r="Q34" s="12"/>
      <c r="R34" s="12"/>
      <c r="S34" s="10"/>
      <c r="T34" s="10"/>
    </row>
    <row r="35" spans="1:20" x14ac:dyDescent="0.15">
      <c r="A35" s="27"/>
      <c r="B35" s="15" t="s">
        <v>74</v>
      </c>
      <c r="C35" s="16"/>
      <c r="D35" s="17"/>
      <c r="E35" s="16"/>
      <c r="F35" s="18"/>
      <c r="G35" s="16"/>
      <c r="H35" s="18"/>
      <c r="I35" s="16"/>
      <c r="J35" s="18"/>
      <c r="K35" s="16"/>
      <c r="L35" s="18"/>
      <c r="M35" s="16"/>
      <c r="N35" s="18"/>
      <c r="O35" s="16"/>
      <c r="P35" s="18"/>
      <c r="Q35" s="16"/>
      <c r="R35" s="16"/>
      <c r="S35" s="10"/>
      <c r="T35" s="10"/>
    </row>
    <row r="36" spans="1:20" x14ac:dyDescent="0.15">
      <c r="A36" s="25" t="s">
        <v>25</v>
      </c>
      <c r="B36" s="6" t="s">
        <v>69</v>
      </c>
      <c r="C36" s="7"/>
      <c r="D36" s="8"/>
      <c r="E36" s="7"/>
      <c r="F36" s="9"/>
      <c r="G36" s="7"/>
      <c r="H36" s="9"/>
      <c r="I36" s="7"/>
      <c r="J36" s="9"/>
      <c r="K36" s="7"/>
      <c r="L36" s="9"/>
      <c r="M36" s="7"/>
      <c r="N36" s="9"/>
      <c r="O36" s="7"/>
      <c r="P36" s="9"/>
      <c r="Q36" s="7"/>
      <c r="R36" s="7"/>
      <c r="S36" s="10"/>
      <c r="T36" s="10"/>
    </row>
    <row r="37" spans="1:20" x14ac:dyDescent="0.15">
      <c r="A37" s="26"/>
      <c r="B37" s="11" t="s">
        <v>70</v>
      </c>
      <c r="C37" s="12"/>
      <c r="D37" s="13"/>
      <c r="E37" s="12"/>
      <c r="F37" s="14"/>
      <c r="G37" s="12"/>
      <c r="H37" s="14"/>
      <c r="I37" s="12"/>
      <c r="J37" s="14"/>
      <c r="K37" s="12"/>
      <c r="L37" s="14"/>
      <c r="M37" s="12"/>
      <c r="N37" s="14"/>
      <c r="O37" s="12"/>
      <c r="P37" s="14"/>
      <c r="Q37" s="12"/>
      <c r="R37" s="12"/>
      <c r="S37" s="10"/>
      <c r="T37" s="10"/>
    </row>
    <row r="38" spans="1:20" x14ac:dyDescent="0.15">
      <c r="A38" s="26"/>
      <c r="B38" s="11" t="s">
        <v>71</v>
      </c>
      <c r="C38" s="12"/>
      <c r="D38" s="13"/>
      <c r="E38" s="12"/>
      <c r="F38" s="14"/>
      <c r="G38" s="12"/>
      <c r="H38" s="14"/>
      <c r="I38" s="12"/>
      <c r="J38" s="14"/>
      <c r="K38" s="12"/>
      <c r="L38" s="14"/>
      <c r="M38" s="12"/>
      <c r="N38" s="14"/>
      <c r="O38" s="12"/>
      <c r="P38" s="14"/>
      <c r="Q38" s="12"/>
      <c r="R38" s="12"/>
      <c r="S38" s="10"/>
      <c r="T38" s="10"/>
    </row>
    <row r="39" spans="1:20" x14ac:dyDescent="0.15">
      <c r="A39" s="26"/>
      <c r="B39" s="11" t="s">
        <v>72</v>
      </c>
      <c r="C39" s="12"/>
      <c r="D39" s="13"/>
      <c r="E39" s="12"/>
      <c r="F39" s="14"/>
      <c r="G39" s="12"/>
      <c r="H39" s="14"/>
      <c r="I39" s="12"/>
      <c r="J39" s="14"/>
      <c r="K39" s="12"/>
      <c r="L39" s="14"/>
      <c r="M39" s="12"/>
      <c r="N39" s="14"/>
      <c r="O39" s="12"/>
      <c r="P39" s="14"/>
      <c r="Q39" s="12"/>
      <c r="R39" s="12"/>
      <c r="S39" s="10"/>
      <c r="T39" s="10"/>
    </row>
    <row r="40" spans="1:20" x14ac:dyDescent="0.15">
      <c r="A40" s="26"/>
      <c r="B40" s="11" t="s">
        <v>73</v>
      </c>
      <c r="C40" s="12"/>
      <c r="D40" s="13"/>
      <c r="E40" s="12"/>
      <c r="F40" s="14"/>
      <c r="G40" s="12"/>
      <c r="H40" s="14"/>
      <c r="I40" s="12"/>
      <c r="J40" s="14"/>
      <c r="K40" s="12"/>
      <c r="L40" s="14"/>
      <c r="M40" s="12"/>
      <c r="N40" s="14"/>
      <c r="O40" s="12"/>
      <c r="P40" s="14"/>
      <c r="Q40" s="12"/>
      <c r="R40" s="12"/>
      <c r="S40" s="10"/>
      <c r="T40" s="10"/>
    </row>
    <row r="41" spans="1:20" x14ac:dyDescent="0.15">
      <c r="A41" s="27"/>
      <c r="B41" s="15" t="s">
        <v>74</v>
      </c>
      <c r="C41" s="16"/>
      <c r="D41" s="17"/>
      <c r="E41" s="16"/>
      <c r="F41" s="18"/>
      <c r="G41" s="16"/>
      <c r="H41" s="18"/>
      <c r="I41" s="16"/>
      <c r="J41" s="18"/>
      <c r="K41" s="16"/>
      <c r="L41" s="18"/>
      <c r="M41" s="16"/>
      <c r="N41" s="18"/>
      <c r="O41" s="16"/>
      <c r="P41" s="18"/>
      <c r="Q41" s="16"/>
      <c r="R41" s="16"/>
      <c r="S41" s="10"/>
      <c r="T41" s="10"/>
    </row>
    <row r="42" spans="1:20" x14ac:dyDescent="0.15">
      <c r="A42" s="25" t="s">
        <v>26</v>
      </c>
      <c r="B42" s="6" t="s">
        <v>69</v>
      </c>
      <c r="C42" s="7"/>
      <c r="D42" s="8"/>
      <c r="E42" s="7"/>
      <c r="F42" s="9"/>
      <c r="G42" s="7"/>
      <c r="H42" s="9"/>
      <c r="I42" s="7"/>
      <c r="J42" s="9"/>
      <c r="K42" s="7"/>
      <c r="L42" s="9"/>
      <c r="M42" s="7"/>
      <c r="N42" s="9"/>
      <c r="O42" s="7"/>
      <c r="P42" s="9"/>
      <c r="Q42" s="7"/>
      <c r="R42" s="7"/>
      <c r="S42" s="10"/>
      <c r="T42" s="10"/>
    </row>
    <row r="43" spans="1:20" x14ac:dyDescent="0.15">
      <c r="A43" s="26"/>
      <c r="B43" s="11" t="s">
        <v>70</v>
      </c>
      <c r="C43" s="12"/>
      <c r="D43" s="13"/>
      <c r="E43" s="12"/>
      <c r="F43" s="14"/>
      <c r="G43" s="12"/>
      <c r="H43" s="14"/>
      <c r="I43" s="12"/>
      <c r="J43" s="14"/>
      <c r="K43" s="12"/>
      <c r="L43" s="14"/>
      <c r="M43" s="12"/>
      <c r="N43" s="14"/>
      <c r="O43" s="12"/>
      <c r="P43" s="14"/>
      <c r="Q43" s="12"/>
      <c r="R43" s="12"/>
      <c r="S43" s="10"/>
      <c r="T43" s="10"/>
    </row>
    <row r="44" spans="1:20" x14ac:dyDescent="0.15">
      <c r="A44" s="26"/>
      <c r="B44" s="11" t="s">
        <v>71</v>
      </c>
      <c r="C44" s="12"/>
      <c r="D44" s="13"/>
      <c r="E44" s="12"/>
      <c r="F44" s="14"/>
      <c r="G44" s="12"/>
      <c r="H44" s="14"/>
      <c r="I44" s="12"/>
      <c r="J44" s="14"/>
      <c r="K44" s="12"/>
      <c r="L44" s="14"/>
      <c r="M44" s="12"/>
      <c r="N44" s="14"/>
      <c r="O44" s="12"/>
      <c r="P44" s="14"/>
      <c r="Q44" s="12"/>
      <c r="R44" s="12"/>
      <c r="S44" s="10"/>
      <c r="T44" s="10"/>
    </row>
    <row r="45" spans="1:20" x14ac:dyDescent="0.15">
      <c r="A45" s="26"/>
      <c r="B45" s="11" t="s">
        <v>72</v>
      </c>
      <c r="C45" s="12"/>
      <c r="D45" s="13"/>
      <c r="E45" s="12"/>
      <c r="F45" s="14"/>
      <c r="G45" s="12"/>
      <c r="H45" s="14"/>
      <c r="I45" s="12"/>
      <c r="J45" s="14"/>
      <c r="K45" s="12"/>
      <c r="L45" s="14"/>
      <c r="M45" s="12"/>
      <c r="N45" s="14"/>
      <c r="O45" s="12"/>
      <c r="P45" s="14"/>
      <c r="Q45" s="12"/>
      <c r="R45" s="12"/>
      <c r="S45" s="10"/>
      <c r="T45" s="10"/>
    </row>
    <row r="46" spans="1:20" x14ac:dyDescent="0.15">
      <c r="A46" s="26"/>
      <c r="B46" s="11" t="s">
        <v>73</v>
      </c>
      <c r="C46" s="12"/>
      <c r="D46" s="13"/>
      <c r="E46" s="12"/>
      <c r="F46" s="14"/>
      <c r="G46" s="12"/>
      <c r="H46" s="14"/>
      <c r="I46" s="12"/>
      <c r="J46" s="14"/>
      <c r="K46" s="12"/>
      <c r="L46" s="14"/>
      <c r="M46" s="12"/>
      <c r="N46" s="14"/>
      <c r="O46" s="12"/>
      <c r="P46" s="14"/>
      <c r="Q46" s="12"/>
      <c r="R46" s="12"/>
      <c r="S46" s="10"/>
      <c r="T46" s="10"/>
    </row>
    <row r="47" spans="1:20" x14ac:dyDescent="0.15">
      <c r="A47" s="27"/>
      <c r="B47" s="11" t="s">
        <v>74</v>
      </c>
      <c r="C47" s="12"/>
      <c r="D47" s="13"/>
      <c r="E47" s="12"/>
      <c r="F47" s="14"/>
      <c r="G47" s="12"/>
      <c r="H47" s="14"/>
      <c r="I47" s="12"/>
      <c r="J47" s="14"/>
      <c r="K47" s="12"/>
      <c r="L47" s="14"/>
      <c r="M47" s="12"/>
      <c r="N47" s="14"/>
      <c r="O47" s="12"/>
      <c r="P47" s="14"/>
      <c r="Q47" s="12"/>
      <c r="R47" s="12"/>
      <c r="S47" s="10"/>
      <c r="T47" s="10"/>
    </row>
    <row r="48" spans="1:20" x14ac:dyDescent="0.15">
      <c r="A48" s="25" t="s">
        <v>27</v>
      </c>
      <c r="B48" s="6" t="s">
        <v>69</v>
      </c>
      <c r="C48" s="7"/>
      <c r="D48" s="8"/>
      <c r="E48" s="7"/>
      <c r="F48" s="9"/>
      <c r="G48" s="7"/>
      <c r="H48" s="9"/>
      <c r="I48" s="7"/>
      <c r="J48" s="9"/>
      <c r="K48" s="7"/>
      <c r="L48" s="9"/>
      <c r="M48" s="7"/>
      <c r="N48" s="9"/>
      <c r="O48" s="7"/>
      <c r="P48" s="9"/>
      <c r="Q48" s="7"/>
      <c r="R48" s="7"/>
      <c r="S48" s="10"/>
      <c r="T48" s="10"/>
    </row>
    <row r="49" spans="1:20" x14ac:dyDescent="0.15">
      <c r="A49" s="26"/>
      <c r="B49" s="11" t="s">
        <v>70</v>
      </c>
      <c r="C49" s="12"/>
      <c r="D49" s="13"/>
      <c r="E49" s="12"/>
      <c r="F49" s="14"/>
      <c r="G49" s="12"/>
      <c r="H49" s="14"/>
      <c r="I49" s="12"/>
      <c r="J49" s="14"/>
      <c r="K49" s="12"/>
      <c r="L49" s="14"/>
      <c r="M49" s="12"/>
      <c r="N49" s="14"/>
      <c r="O49" s="12"/>
      <c r="P49" s="14"/>
      <c r="Q49" s="12"/>
      <c r="R49" s="12"/>
      <c r="S49" s="10"/>
      <c r="T49" s="10"/>
    </row>
    <row r="50" spans="1:20" x14ac:dyDescent="0.15">
      <c r="A50" s="26"/>
      <c r="B50" s="11" t="s">
        <v>71</v>
      </c>
      <c r="C50" s="12"/>
      <c r="D50" s="13"/>
      <c r="E50" s="12"/>
      <c r="F50" s="14"/>
      <c r="G50" s="12"/>
      <c r="H50" s="14"/>
      <c r="I50" s="12"/>
      <c r="J50" s="14"/>
      <c r="K50" s="12"/>
      <c r="L50" s="14"/>
      <c r="M50" s="12"/>
      <c r="N50" s="14"/>
      <c r="O50" s="12"/>
      <c r="P50" s="14"/>
      <c r="Q50" s="12"/>
      <c r="R50" s="12"/>
      <c r="S50" s="10"/>
      <c r="T50" s="10"/>
    </row>
    <row r="51" spans="1:20" x14ac:dyDescent="0.15">
      <c r="A51" s="26"/>
      <c r="B51" s="11" t="s">
        <v>72</v>
      </c>
      <c r="C51" s="12"/>
      <c r="D51" s="13"/>
      <c r="E51" s="12"/>
      <c r="F51" s="14"/>
      <c r="G51" s="12"/>
      <c r="H51" s="14"/>
      <c r="I51" s="12"/>
      <c r="J51" s="14"/>
      <c r="K51" s="12"/>
      <c r="L51" s="14"/>
      <c r="M51" s="12"/>
      <c r="N51" s="14"/>
      <c r="O51" s="12"/>
      <c r="P51" s="14"/>
      <c r="Q51" s="12"/>
      <c r="R51" s="12"/>
      <c r="S51" s="10"/>
      <c r="T51" s="10"/>
    </row>
    <row r="52" spans="1:20" x14ac:dyDescent="0.15">
      <c r="A52" s="26"/>
      <c r="B52" s="11" t="s">
        <v>73</v>
      </c>
      <c r="C52" s="12"/>
      <c r="D52" s="13"/>
      <c r="E52" s="12"/>
      <c r="F52" s="14"/>
      <c r="G52" s="12"/>
      <c r="H52" s="14"/>
      <c r="I52" s="12"/>
      <c r="J52" s="14"/>
      <c r="K52" s="12"/>
      <c r="L52" s="14"/>
      <c r="M52" s="12"/>
      <c r="N52" s="14"/>
      <c r="O52" s="12"/>
      <c r="P52" s="14"/>
      <c r="Q52" s="12"/>
      <c r="R52" s="12"/>
      <c r="S52" s="10"/>
      <c r="T52" s="10"/>
    </row>
    <row r="53" spans="1:20" x14ac:dyDescent="0.15">
      <c r="A53" s="27"/>
      <c r="B53" s="11" t="s">
        <v>74</v>
      </c>
      <c r="C53" s="12"/>
      <c r="D53" s="13"/>
      <c r="E53" s="12"/>
      <c r="F53" s="14"/>
      <c r="G53" s="12"/>
      <c r="H53" s="14"/>
      <c r="I53" s="12"/>
      <c r="J53" s="14"/>
      <c r="K53" s="12"/>
      <c r="L53" s="14"/>
      <c r="M53" s="12"/>
      <c r="N53" s="14"/>
      <c r="O53" s="12"/>
      <c r="P53" s="14"/>
      <c r="Q53" s="12"/>
      <c r="R53" s="12"/>
      <c r="S53" s="10"/>
      <c r="T53" s="10"/>
    </row>
    <row r="54" spans="1:20" x14ac:dyDescent="0.15">
      <c r="A54" s="25" t="s">
        <v>28</v>
      </c>
      <c r="B54" s="6" t="s">
        <v>69</v>
      </c>
      <c r="C54" s="7"/>
      <c r="D54" s="8"/>
      <c r="E54" s="7"/>
      <c r="F54" s="9"/>
      <c r="G54" s="7"/>
      <c r="H54" s="9"/>
      <c r="I54" s="7"/>
      <c r="J54" s="9"/>
      <c r="K54" s="7"/>
      <c r="L54" s="9"/>
      <c r="M54" s="7"/>
      <c r="N54" s="9"/>
      <c r="O54" s="7"/>
      <c r="P54" s="9"/>
      <c r="Q54" s="7"/>
      <c r="R54" s="7"/>
      <c r="S54" s="10"/>
      <c r="T54" s="10"/>
    </row>
    <row r="55" spans="1:20" x14ac:dyDescent="0.15">
      <c r="A55" s="26"/>
      <c r="B55" s="11" t="s">
        <v>70</v>
      </c>
      <c r="C55" s="12"/>
      <c r="D55" s="13"/>
      <c r="E55" s="12"/>
      <c r="F55" s="14"/>
      <c r="G55" s="12"/>
      <c r="H55" s="14"/>
      <c r="I55" s="12"/>
      <c r="J55" s="14"/>
      <c r="K55" s="12"/>
      <c r="L55" s="14"/>
      <c r="M55" s="12"/>
      <c r="N55" s="14"/>
      <c r="O55" s="12"/>
      <c r="P55" s="14"/>
      <c r="Q55" s="12"/>
      <c r="R55" s="12"/>
      <c r="S55" s="10"/>
      <c r="T55" s="10"/>
    </row>
    <row r="56" spans="1:20" x14ac:dyDescent="0.15">
      <c r="A56" s="26"/>
      <c r="B56" s="11" t="s">
        <v>71</v>
      </c>
      <c r="C56" s="12"/>
      <c r="D56" s="13"/>
      <c r="E56" s="12"/>
      <c r="F56" s="14"/>
      <c r="G56" s="12"/>
      <c r="H56" s="14"/>
      <c r="I56" s="12"/>
      <c r="J56" s="14"/>
      <c r="K56" s="12"/>
      <c r="L56" s="14"/>
      <c r="M56" s="12"/>
      <c r="N56" s="14"/>
      <c r="O56" s="12"/>
      <c r="P56" s="14"/>
      <c r="Q56" s="12"/>
      <c r="R56" s="12"/>
      <c r="S56" s="10"/>
      <c r="T56" s="10"/>
    </row>
    <row r="57" spans="1:20" x14ac:dyDescent="0.15">
      <c r="A57" s="26"/>
      <c r="B57" s="11" t="s">
        <v>72</v>
      </c>
      <c r="C57" s="12"/>
      <c r="D57" s="13"/>
      <c r="E57" s="12"/>
      <c r="F57" s="14"/>
      <c r="G57" s="12"/>
      <c r="H57" s="14"/>
      <c r="I57" s="12"/>
      <c r="J57" s="14"/>
      <c r="K57" s="12"/>
      <c r="L57" s="14"/>
      <c r="M57" s="12"/>
      <c r="N57" s="14"/>
      <c r="O57" s="12"/>
      <c r="P57" s="14"/>
      <c r="Q57" s="12"/>
      <c r="R57" s="12"/>
      <c r="S57" s="10"/>
      <c r="T57" s="10"/>
    </row>
    <row r="58" spans="1:20" x14ac:dyDescent="0.15">
      <c r="A58" s="26"/>
      <c r="B58" s="11" t="s">
        <v>73</v>
      </c>
      <c r="C58" s="12"/>
      <c r="D58" s="13"/>
      <c r="E58" s="12"/>
      <c r="F58" s="14"/>
      <c r="G58" s="12"/>
      <c r="H58" s="14"/>
      <c r="I58" s="12"/>
      <c r="J58" s="14"/>
      <c r="K58" s="12"/>
      <c r="L58" s="14"/>
      <c r="M58" s="12"/>
      <c r="N58" s="14"/>
      <c r="O58" s="12"/>
      <c r="P58" s="14"/>
      <c r="Q58" s="12"/>
      <c r="R58" s="12"/>
      <c r="S58" s="10"/>
      <c r="T58" s="10"/>
    </row>
    <row r="59" spans="1:20" x14ac:dyDescent="0.15">
      <c r="A59" s="27"/>
      <c r="B59" s="11" t="s">
        <v>74</v>
      </c>
      <c r="C59" s="12"/>
      <c r="D59" s="13"/>
      <c r="E59" s="12"/>
      <c r="F59" s="14"/>
      <c r="G59" s="12"/>
      <c r="H59" s="14"/>
      <c r="I59" s="12"/>
      <c r="J59" s="14"/>
      <c r="K59" s="12"/>
      <c r="L59" s="14"/>
      <c r="M59" s="12"/>
      <c r="N59" s="14"/>
      <c r="O59" s="12"/>
      <c r="P59" s="14"/>
      <c r="Q59" s="12"/>
      <c r="R59" s="12"/>
      <c r="S59" s="10"/>
      <c r="T59" s="10"/>
    </row>
    <row r="60" spans="1:20" x14ac:dyDescent="0.15">
      <c r="A60" s="25" t="s">
        <v>29</v>
      </c>
      <c r="B60" s="6" t="s">
        <v>69</v>
      </c>
      <c r="C60" s="7"/>
      <c r="D60" s="8"/>
      <c r="E60" s="7"/>
      <c r="F60" s="9"/>
      <c r="G60" s="7"/>
      <c r="H60" s="9"/>
      <c r="I60" s="7"/>
      <c r="J60" s="9"/>
      <c r="K60" s="7"/>
      <c r="L60" s="9"/>
      <c r="M60" s="7"/>
      <c r="N60" s="9"/>
      <c r="O60" s="7"/>
      <c r="P60" s="9"/>
      <c r="Q60" s="7"/>
      <c r="R60" s="7"/>
      <c r="S60" s="10"/>
      <c r="T60" s="10"/>
    </row>
    <row r="61" spans="1:20" x14ac:dyDescent="0.15">
      <c r="A61" s="26"/>
      <c r="B61" s="11" t="s">
        <v>70</v>
      </c>
      <c r="C61" s="12"/>
      <c r="D61" s="13"/>
      <c r="E61" s="12"/>
      <c r="F61" s="14"/>
      <c r="G61" s="12"/>
      <c r="H61" s="14"/>
      <c r="I61" s="12"/>
      <c r="J61" s="14"/>
      <c r="K61" s="12"/>
      <c r="L61" s="14"/>
      <c r="M61" s="12"/>
      <c r="N61" s="14"/>
      <c r="O61" s="12"/>
      <c r="P61" s="14"/>
      <c r="Q61" s="12"/>
      <c r="R61" s="12"/>
      <c r="S61" s="10"/>
      <c r="T61" s="10"/>
    </row>
    <row r="62" spans="1:20" x14ac:dyDescent="0.15">
      <c r="A62" s="26"/>
      <c r="B62" s="11" t="s">
        <v>71</v>
      </c>
      <c r="C62" s="12"/>
      <c r="D62" s="13"/>
      <c r="E62" s="12"/>
      <c r="F62" s="14"/>
      <c r="G62" s="12"/>
      <c r="H62" s="14"/>
      <c r="I62" s="12"/>
      <c r="J62" s="14"/>
      <c r="K62" s="12"/>
      <c r="L62" s="14"/>
      <c r="M62" s="12"/>
      <c r="N62" s="14"/>
      <c r="O62" s="12"/>
      <c r="P62" s="14"/>
      <c r="Q62" s="12"/>
      <c r="R62" s="12"/>
      <c r="S62" s="10"/>
      <c r="T62" s="10"/>
    </row>
    <row r="63" spans="1:20" x14ac:dyDescent="0.15">
      <c r="A63" s="26"/>
      <c r="B63" s="11" t="s">
        <v>72</v>
      </c>
      <c r="C63" s="12"/>
      <c r="D63" s="13"/>
      <c r="E63" s="12"/>
      <c r="F63" s="14"/>
      <c r="G63" s="12"/>
      <c r="H63" s="14"/>
      <c r="I63" s="12"/>
      <c r="J63" s="14"/>
      <c r="K63" s="12"/>
      <c r="L63" s="14"/>
      <c r="M63" s="12"/>
      <c r="N63" s="14"/>
      <c r="O63" s="12"/>
      <c r="P63" s="14"/>
      <c r="Q63" s="12"/>
      <c r="R63" s="12"/>
      <c r="S63" s="10"/>
      <c r="T63" s="10"/>
    </row>
    <row r="64" spans="1:20" x14ac:dyDescent="0.15">
      <c r="A64" s="26"/>
      <c r="B64" s="11" t="s">
        <v>73</v>
      </c>
      <c r="C64" s="12"/>
      <c r="D64" s="13"/>
      <c r="E64" s="12"/>
      <c r="F64" s="14"/>
      <c r="G64" s="12"/>
      <c r="H64" s="14"/>
      <c r="I64" s="12"/>
      <c r="J64" s="14"/>
      <c r="K64" s="12"/>
      <c r="L64" s="14"/>
      <c r="M64" s="12"/>
      <c r="N64" s="14"/>
      <c r="O64" s="12"/>
      <c r="P64" s="14"/>
      <c r="Q64" s="12"/>
      <c r="R64" s="12"/>
      <c r="S64" s="10"/>
      <c r="T64" s="10"/>
    </row>
    <row r="65" spans="1:20" x14ac:dyDescent="0.15">
      <c r="A65" s="27"/>
      <c r="B65" s="15" t="s">
        <v>74</v>
      </c>
      <c r="C65" s="16"/>
      <c r="D65" s="17"/>
      <c r="E65" s="16"/>
      <c r="F65" s="18"/>
      <c r="G65" s="16"/>
      <c r="H65" s="18"/>
      <c r="I65" s="16"/>
      <c r="J65" s="18"/>
      <c r="K65" s="16"/>
      <c r="L65" s="18"/>
      <c r="M65" s="16"/>
      <c r="N65" s="18"/>
      <c r="O65" s="16"/>
      <c r="P65" s="18"/>
      <c r="Q65" s="16"/>
      <c r="R65" s="16"/>
      <c r="S65" s="10"/>
      <c r="T65" s="10"/>
    </row>
    <row r="66" spans="1:20" x14ac:dyDescent="0.15">
      <c r="A66" s="25" t="s">
        <v>30</v>
      </c>
      <c r="B66" s="6" t="s">
        <v>69</v>
      </c>
      <c r="C66" s="7"/>
      <c r="D66" s="8"/>
      <c r="E66" s="7"/>
      <c r="F66" s="9"/>
      <c r="G66" s="7"/>
      <c r="H66" s="9"/>
      <c r="I66" s="7"/>
      <c r="J66" s="9"/>
      <c r="K66" s="7"/>
      <c r="L66" s="9"/>
      <c r="M66" s="7"/>
      <c r="N66" s="9"/>
      <c r="O66" s="7"/>
      <c r="P66" s="9"/>
      <c r="Q66" s="7"/>
      <c r="R66" s="7"/>
      <c r="S66" s="10"/>
      <c r="T66" s="10"/>
    </row>
    <row r="67" spans="1:20" x14ac:dyDescent="0.15">
      <c r="A67" s="26"/>
      <c r="B67" s="11" t="s">
        <v>70</v>
      </c>
      <c r="C67" s="12"/>
      <c r="D67" s="13"/>
      <c r="E67" s="12"/>
      <c r="F67" s="14"/>
      <c r="G67" s="12"/>
      <c r="H67" s="14"/>
      <c r="I67" s="12"/>
      <c r="J67" s="14"/>
      <c r="K67" s="12"/>
      <c r="L67" s="14"/>
      <c r="M67" s="12"/>
      <c r="N67" s="14"/>
      <c r="O67" s="12"/>
      <c r="P67" s="14"/>
      <c r="Q67" s="12"/>
      <c r="R67" s="12"/>
      <c r="S67" s="10"/>
      <c r="T67" s="10"/>
    </row>
    <row r="68" spans="1:20" x14ac:dyDescent="0.15">
      <c r="A68" s="26"/>
      <c r="B68" s="11" t="s">
        <v>71</v>
      </c>
      <c r="C68" s="12"/>
      <c r="D68" s="13"/>
      <c r="E68" s="12"/>
      <c r="F68" s="14"/>
      <c r="G68" s="12"/>
      <c r="H68" s="14"/>
      <c r="I68" s="12"/>
      <c r="J68" s="14"/>
      <c r="K68" s="12"/>
      <c r="L68" s="14"/>
      <c r="M68" s="12"/>
      <c r="N68" s="14"/>
      <c r="O68" s="12"/>
      <c r="P68" s="14"/>
      <c r="Q68" s="12"/>
      <c r="R68" s="12"/>
      <c r="S68" s="10"/>
      <c r="T68" s="10"/>
    </row>
    <row r="69" spans="1:20" x14ac:dyDescent="0.15">
      <c r="A69" s="26"/>
      <c r="B69" s="11" t="s">
        <v>72</v>
      </c>
      <c r="C69" s="12"/>
      <c r="D69" s="13"/>
      <c r="E69" s="12"/>
      <c r="F69" s="14"/>
      <c r="G69" s="12"/>
      <c r="H69" s="14"/>
      <c r="I69" s="12"/>
      <c r="J69" s="14"/>
      <c r="K69" s="12"/>
      <c r="L69" s="14"/>
      <c r="M69" s="12"/>
      <c r="N69" s="14"/>
      <c r="O69" s="12"/>
      <c r="P69" s="14"/>
      <c r="Q69" s="12"/>
      <c r="R69" s="12"/>
      <c r="S69" s="10"/>
      <c r="T69" s="10"/>
    </row>
    <row r="70" spans="1:20" x14ac:dyDescent="0.15">
      <c r="A70" s="26"/>
      <c r="B70" s="11" t="s">
        <v>73</v>
      </c>
      <c r="C70" s="12"/>
      <c r="D70" s="13"/>
      <c r="E70" s="12"/>
      <c r="F70" s="14"/>
      <c r="G70" s="12"/>
      <c r="H70" s="14"/>
      <c r="I70" s="12"/>
      <c r="J70" s="14"/>
      <c r="K70" s="12"/>
      <c r="L70" s="14"/>
      <c r="M70" s="12"/>
      <c r="N70" s="14"/>
      <c r="O70" s="12"/>
      <c r="P70" s="14"/>
      <c r="Q70" s="12"/>
      <c r="R70" s="12"/>
      <c r="S70" s="10"/>
      <c r="T70" s="10"/>
    </row>
    <row r="71" spans="1:20" x14ac:dyDescent="0.15">
      <c r="A71" s="27"/>
      <c r="B71" s="11" t="s">
        <v>74</v>
      </c>
      <c r="C71" s="12"/>
      <c r="D71" s="13"/>
      <c r="E71" s="12"/>
      <c r="F71" s="14"/>
      <c r="G71" s="12"/>
      <c r="H71" s="14"/>
      <c r="I71" s="12"/>
      <c r="J71" s="14"/>
      <c r="K71" s="12"/>
      <c r="L71" s="14"/>
      <c r="M71" s="12"/>
      <c r="N71" s="14"/>
      <c r="O71" s="12"/>
      <c r="P71" s="14"/>
      <c r="Q71" s="12"/>
      <c r="R71" s="12"/>
      <c r="S71" s="10"/>
      <c r="T71" s="10"/>
    </row>
    <row r="72" spans="1:20" x14ac:dyDescent="0.15">
      <c r="A72" s="25" t="s">
        <v>31</v>
      </c>
      <c r="B72" s="6" t="s">
        <v>69</v>
      </c>
      <c r="C72" s="7"/>
      <c r="D72" s="8"/>
      <c r="E72" s="7"/>
      <c r="F72" s="9"/>
      <c r="G72" s="7"/>
      <c r="H72" s="9"/>
      <c r="I72" s="7"/>
      <c r="J72" s="9"/>
      <c r="K72" s="7"/>
      <c r="L72" s="9"/>
      <c r="M72" s="7"/>
      <c r="N72" s="9"/>
      <c r="O72" s="7"/>
      <c r="P72" s="9"/>
      <c r="Q72" s="7"/>
      <c r="R72" s="7"/>
      <c r="S72" s="10"/>
      <c r="T72" s="10"/>
    </row>
    <row r="73" spans="1:20" x14ac:dyDescent="0.15">
      <c r="A73" s="26"/>
      <c r="B73" s="11" t="s">
        <v>70</v>
      </c>
      <c r="C73" s="12"/>
      <c r="D73" s="13"/>
      <c r="E73" s="12"/>
      <c r="F73" s="14"/>
      <c r="G73" s="12"/>
      <c r="H73" s="14"/>
      <c r="I73" s="12"/>
      <c r="J73" s="14"/>
      <c r="K73" s="12"/>
      <c r="L73" s="14"/>
      <c r="M73" s="12"/>
      <c r="N73" s="14"/>
      <c r="O73" s="12"/>
      <c r="P73" s="14"/>
      <c r="Q73" s="12"/>
      <c r="R73" s="12"/>
      <c r="S73" s="10"/>
      <c r="T73" s="10"/>
    </row>
    <row r="74" spans="1:20" x14ac:dyDescent="0.15">
      <c r="A74" s="26"/>
      <c r="B74" s="11" t="s">
        <v>71</v>
      </c>
      <c r="C74" s="12"/>
      <c r="D74" s="13"/>
      <c r="E74" s="12"/>
      <c r="F74" s="14"/>
      <c r="G74" s="12"/>
      <c r="H74" s="14"/>
      <c r="I74" s="12"/>
      <c r="J74" s="14"/>
      <c r="K74" s="12"/>
      <c r="L74" s="14"/>
      <c r="M74" s="12"/>
      <c r="N74" s="14"/>
      <c r="O74" s="12"/>
      <c r="P74" s="14"/>
      <c r="Q74" s="12"/>
      <c r="R74" s="12"/>
      <c r="S74" s="10"/>
      <c r="T74" s="10"/>
    </row>
    <row r="75" spans="1:20" x14ac:dyDescent="0.15">
      <c r="A75" s="26"/>
      <c r="B75" s="11" t="s">
        <v>72</v>
      </c>
      <c r="C75" s="12"/>
      <c r="D75" s="13"/>
      <c r="E75" s="12"/>
      <c r="F75" s="14"/>
      <c r="G75" s="12"/>
      <c r="H75" s="14"/>
      <c r="I75" s="12"/>
      <c r="J75" s="14"/>
      <c r="K75" s="12"/>
      <c r="L75" s="14"/>
      <c r="M75" s="12"/>
      <c r="N75" s="14"/>
      <c r="O75" s="12"/>
      <c r="P75" s="14"/>
      <c r="Q75" s="12"/>
      <c r="R75" s="12"/>
      <c r="S75" s="10"/>
      <c r="T75" s="10"/>
    </row>
    <row r="76" spans="1:20" x14ac:dyDescent="0.15">
      <c r="A76" s="26"/>
      <c r="B76" s="11" t="s">
        <v>73</v>
      </c>
      <c r="C76" s="12"/>
      <c r="D76" s="13"/>
      <c r="E76" s="12"/>
      <c r="F76" s="14"/>
      <c r="G76" s="12"/>
      <c r="H76" s="14"/>
      <c r="I76" s="12"/>
      <c r="J76" s="14"/>
      <c r="K76" s="12"/>
      <c r="L76" s="14"/>
      <c r="M76" s="12"/>
      <c r="N76" s="14"/>
      <c r="O76" s="12"/>
      <c r="P76" s="14"/>
      <c r="Q76" s="12"/>
      <c r="R76" s="12"/>
      <c r="S76" s="10"/>
      <c r="T76" s="10"/>
    </row>
    <row r="77" spans="1:20" x14ac:dyDescent="0.15">
      <c r="A77" s="27"/>
      <c r="B77" s="11" t="s">
        <v>74</v>
      </c>
      <c r="C77" s="12"/>
      <c r="D77" s="13"/>
      <c r="E77" s="12"/>
      <c r="F77" s="14"/>
      <c r="G77" s="12"/>
      <c r="H77" s="14"/>
      <c r="I77" s="12"/>
      <c r="J77" s="14"/>
      <c r="K77" s="12"/>
      <c r="L77" s="14"/>
      <c r="M77" s="12"/>
      <c r="N77" s="14"/>
      <c r="O77" s="12"/>
      <c r="P77" s="14"/>
      <c r="Q77" s="12"/>
      <c r="R77" s="12"/>
      <c r="S77" s="10"/>
      <c r="T77" s="10"/>
    </row>
    <row r="78" spans="1:20" x14ac:dyDescent="0.15">
      <c r="A78" s="25" t="s">
        <v>32</v>
      </c>
      <c r="B78" s="6" t="s">
        <v>69</v>
      </c>
      <c r="C78" s="7"/>
      <c r="D78" s="8"/>
      <c r="E78" s="7"/>
      <c r="F78" s="9"/>
      <c r="G78" s="7"/>
      <c r="H78" s="9"/>
      <c r="I78" s="7"/>
      <c r="J78" s="9"/>
      <c r="K78" s="7"/>
      <c r="L78" s="9"/>
      <c r="M78" s="7"/>
      <c r="N78" s="9"/>
      <c r="O78" s="7"/>
      <c r="P78" s="9"/>
      <c r="Q78" s="7"/>
      <c r="R78" s="7"/>
      <c r="S78" s="10"/>
      <c r="T78" s="10"/>
    </row>
    <row r="79" spans="1:20" x14ac:dyDescent="0.15">
      <c r="A79" s="26"/>
      <c r="B79" s="11" t="s">
        <v>70</v>
      </c>
      <c r="C79" s="12"/>
      <c r="D79" s="13"/>
      <c r="E79" s="12"/>
      <c r="F79" s="14"/>
      <c r="G79" s="12"/>
      <c r="H79" s="14"/>
      <c r="I79" s="12"/>
      <c r="J79" s="14"/>
      <c r="K79" s="12"/>
      <c r="L79" s="14"/>
      <c r="M79" s="12"/>
      <c r="N79" s="14"/>
      <c r="O79" s="12"/>
      <c r="P79" s="14"/>
      <c r="Q79" s="12"/>
      <c r="R79" s="12"/>
      <c r="S79" s="10"/>
      <c r="T79" s="10"/>
    </row>
    <row r="80" spans="1:20" x14ac:dyDescent="0.15">
      <c r="A80" s="26"/>
      <c r="B80" s="11" t="s">
        <v>71</v>
      </c>
      <c r="C80" s="12"/>
      <c r="D80" s="13"/>
      <c r="E80" s="12"/>
      <c r="F80" s="14"/>
      <c r="G80" s="12"/>
      <c r="H80" s="14"/>
      <c r="I80" s="12"/>
      <c r="J80" s="14"/>
      <c r="K80" s="12"/>
      <c r="L80" s="14"/>
      <c r="M80" s="12"/>
      <c r="N80" s="14"/>
      <c r="O80" s="12"/>
      <c r="P80" s="14"/>
      <c r="Q80" s="12"/>
      <c r="R80" s="12"/>
      <c r="S80" s="10"/>
      <c r="T80" s="10"/>
    </row>
    <row r="81" spans="1:20" x14ac:dyDescent="0.15">
      <c r="A81" s="26"/>
      <c r="B81" s="11" t="s">
        <v>72</v>
      </c>
      <c r="C81" s="12"/>
      <c r="D81" s="13"/>
      <c r="E81" s="12"/>
      <c r="F81" s="14"/>
      <c r="G81" s="12"/>
      <c r="H81" s="14"/>
      <c r="I81" s="12"/>
      <c r="J81" s="14"/>
      <c r="K81" s="12"/>
      <c r="L81" s="14"/>
      <c r="M81" s="12"/>
      <c r="N81" s="14"/>
      <c r="O81" s="12"/>
      <c r="P81" s="14"/>
      <c r="Q81" s="12"/>
      <c r="R81" s="12"/>
      <c r="S81" s="10"/>
      <c r="T81" s="10"/>
    </row>
    <row r="82" spans="1:20" x14ac:dyDescent="0.15">
      <c r="A82" s="26"/>
      <c r="B82" s="11" t="s">
        <v>73</v>
      </c>
      <c r="C82" s="12"/>
      <c r="D82" s="13"/>
      <c r="E82" s="12"/>
      <c r="F82" s="14"/>
      <c r="G82" s="12"/>
      <c r="H82" s="14"/>
      <c r="I82" s="12"/>
      <c r="J82" s="14"/>
      <c r="K82" s="12"/>
      <c r="L82" s="14"/>
      <c r="M82" s="12"/>
      <c r="N82" s="14"/>
      <c r="O82" s="12"/>
      <c r="P82" s="14"/>
      <c r="Q82" s="12"/>
      <c r="R82" s="12"/>
      <c r="S82" s="10"/>
      <c r="T82" s="10"/>
    </row>
    <row r="83" spans="1:20" x14ac:dyDescent="0.15">
      <c r="A83" s="27"/>
      <c r="B83" s="15" t="s">
        <v>74</v>
      </c>
      <c r="C83" s="16"/>
      <c r="D83" s="17"/>
      <c r="E83" s="16"/>
      <c r="F83" s="18"/>
      <c r="G83" s="16"/>
      <c r="H83" s="18"/>
      <c r="I83" s="16"/>
      <c r="J83" s="18"/>
      <c r="K83" s="16"/>
      <c r="L83" s="18"/>
      <c r="M83" s="16"/>
      <c r="N83" s="18"/>
      <c r="O83" s="16"/>
      <c r="P83" s="18"/>
      <c r="Q83" s="16"/>
      <c r="R83" s="16"/>
      <c r="S83" s="10"/>
      <c r="T83" s="10"/>
    </row>
    <row r="84" spans="1:20" x14ac:dyDescent="0.15">
      <c r="A84" s="25" t="s">
        <v>33</v>
      </c>
      <c r="B84" s="6" t="s">
        <v>69</v>
      </c>
      <c r="C84" s="7"/>
      <c r="D84" s="8"/>
      <c r="E84" s="7"/>
      <c r="F84" s="9"/>
      <c r="G84" s="7"/>
      <c r="H84" s="9"/>
      <c r="I84" s="7"/>
      <c r="J84" s="9"/>
      <c r="K84" s="7"/>
      <c r="L84" s="9"/>
      <c r="M84" s="7"/>
      <c r="N84" s="9"/>
      <c r="O84" s="7"/>
      <c r="P84" s="9"/>
      <c r="Q84" s="7"/>
      <c r="R84" s="7"/>
      <c r="S84" s="10"/>
      <c r="T84" s="10"/>
    </row>
    <row r="85" spans="1:20" x14ac:dyDescent="0.15">
      <c r="A85" s="26"/>
      <c r="B85" s="11" t="s">
        <v>70</v>
      </c>
      <c r="C85" s="12"/>
      <c r="D85" s="13"/>
      <c r="E85" s="12"/>
      <c r="F85" s="14"/>
      <c r="G85" s="12"/>
      <c r="H85" s="14"/>
      <c r="I85" s="12"/>
      <c r="J85" s="14"/>
      <c r="K85" s="12"/>
      <c r="L85" s="14"/>
      <c r="M85" s="12"/>
      <c r="N85" s="14"/>
      <c r="O85" s="12"/>
      <c r="P85" s="14"/>
      <c r="Q85" s="12"/>
      <c r="R85" s="12"/>
      <c r="S85" s="10"/>
      <c r="T85" s="10"/>
    </row>
    <row r="86" spans="1:20" x14ac:dyDescent="0.15">
      <c r="A86" s="26"/>
      <c r="B86" s="11" t="s">
        <v>71</v>
      </c>
      <c r="C86" s="12"/>
      <c r="D86" s="13"/>
      <c r="E86" s="12"/>
      <c r="F86" s="14"/>
      <c r="G86" s="12"/>
      <c r="H86" s="14"/>
      <c r="I86" s="12"/>
      <c r="J86" s="14"/>
      <c r="K86" s="12"/>
      <c r="L86" s="14"/>
      <c r="M86" s="12"/>
      <c r="N86" s="14"/>
      <c r="O86" s="12"/>
      <c r="P86" s="14"/>
      <c r="Q86" s="12"/>
      <c r="R86" s="12"/>
      <c r="S86" s="10"/>
      <c r="T86" s="10"/>
    </row>
    <row r="87" spans="1:20" x14ac:dyDescent="0.15">
      <c r="A87" s="26"/>
      <c r="B87" s="11" t="s">
        <v>72</v>
      </c>
      <c r="C87" s="12"/>
      <c r="D87" s="13"/>
      <c r="E87" s="12"/>
      <c r="F87" s="14"/>
      <c r="G87" s="12"/>
      <c r="H87" s="14"/>
      <c r="I87" s="12"/>
      <c r="J87" s="14"/>
      <c r="K87" s="12"/>
      <c r="L87" s="14"/>
      <c r="M87" s="12"/>
      <c r="N87" s="14"/>
      <c r="O87" s="12"/>
      <c r="P87" s="14"/>
      <c r="Q87" s="12"/>
      <c r="R87" s="12"/>
      <c r="S87" s="10"/>
      <c r="T87" s="10"/>
    </row>
    <row r="88" spans="1:20" x14ac:dyDescent="0.15">
      <c r="A88" s="26"/>
      <c r="B88" s="11" t="s">
        <v>73</v>
      </c>
      <c r="C88" s="12"/>
      <c r="D88" s="13"/>
      <c r="E88" s="12"/>
      <c r="F88" s="14"/>
      <c r="G88" s="12"/>
      <c r="H88" s="14"/>
      <c r="I88" s="12"/>
      <c r="J88" s="14"/>
      <c r="K88" s="12"/>
      <c r="L88" s="14"/>
      <c r="M88" s="12"/>
      <c r="N88" s="14"/>
      <c r="O88" s="12"/>
      <c r="P88" s="14"/>
      <c r="Q88" s="12"/>
      <c r="R88" s="12"/>
      <c r="S88" s="10"/>
      <c r="T88" s="10"/>
    </row>
    <row r="89" spans="1:20" x14ac:dyDescent="0.15">
      <c r="A89" s="27"/>
      <c r="B89" s="11" t="s">
        <v>74</v>
      </c>
      <c r="C89" s="12"/>
      <c r="D89" s="13"/>
      <c r="E89" s="12"/>
      <c r="F89" s="14"/>
      <c r="G89" s="12"/>
      <c r="H89" s="14"/>
      <c r="I89" s="12"/>
      <c r="J89" s="14"/>
      <c r="K89" s="12"/>
      <c r="L89" s="14"/>
      <c r="M89" s="12"/>
      <c r="N89" s="14"/>
      <c r="O89" s="12"/>
      <c r="P89" s="14"/>
      <c r="Q89" s="12"/>
      <c r="R89" s="12"/>
      <c r="S89" s="10"/>
      <c r="T89" s="10"/>
    </row>
    <row r="90" spans="1:20" x14ac:dyDescent="0.15">
      <c r="A90" s="25" t="s">
        <v>34</v>
      </c>
      <c r="B90" s="6" t="s">
        <v>69</v>
      </c>
      <c r="C90" s="7"/>
      <c r="D90" s="8"/>
      <c r="E90" s="7"/>
      <c r="F90" s="9"/>
      <c r="G90" s="7"/>
      <c r="H90" s="9"/>
      <c r="I90" s="7"/>
      <c r="J90" s="9"/>
      <c r="K90" s="7"/>
      <c r="L90" s="9"/>
      <c r="M90" s="7"/>
      <c r="N90" s="9"/>
      <c r="O90" s="7"/>
      <c r="P90" s="9"/>
      <c r="Q90" s="7"/>
      <c r="R90" s="7"/>
      <c r="S90" s="10"/>
      <c r="T90" s="10"/>
    </row>
    <row r="91" spans="1:20" x14ac:dyDescent="0.15">
      <c r="A91" s="26"/>
      <c r="B91" s="11" t="s">
        <v>70</v>
      </c>
      <c r="C91" s="12"/>
      <c r="D91" s="13"/>
      <c r="E91" s="12"/>
      <c r="F91" s="14"/>
      <c r="G91" s="12"/>
      <c r="H91" s="14"/>
      <c r="I91" s="12"/>
      <c r="J91" s="14"/>
      <c r="K91" s="12"/>
      <c r="L91" s="14"/>
      <c r="M91" s="12"/>
      <c r="N91" s="14"/>
      <c r="O91" s="12"/>
      <c r="P91" s="14"/>
      <c r="Q91" s="12"/>
      <c r="R91" s="12"/>
      <c r="S91" s="10"/>
      <c r="T91" s="10"/>
    </row>
    <row r="92" spans="1:20" x14ac:dyDescent="0.15">
      <c r="A92" s="26"/>
      <c r="B92" s="11" t="s">
        <v>71</v>
      </c>
      <c r="C92" s="12"/>
      <c r="D92" s="13"/>
      <c r="E92" s="12"/>
      <c r="F92" s="14"/>
      <c r="G92" s="12"/>
      <c r="H92" s="14"/>
      <c r="I92" s="12"/>
      <c r="J92" s="14"/>
      <c r="K92" s="12"/>
      <c r="L92" s="14"/>
      <c r="M92" s="12"/>
      <c r="N92" s="14"/>
      <c r="O92" s="12"/>
      <c r="P92" s="14"/>
      <c r="Q92" s="12"/>
      <c r="R92" s="12"/>
      <c r="S92" s="10"/>
      <c r="T92" s="10"/>
    </row>
    <row r="93" spans="1:20" x14ac:dyDescent="0.15">
      <c r="A93" s="26"/>
      <c r="B93" s="11" t="s">
        <v>72</v>
      </c>
      <c r="C93" s="12"/>
      <c r="D93" s="13"/>
      <c r="E93" s="12"/>
      <c r="F93" s="14"/>
      <c r="G93" s="12"/>
      <c r="H93" s="14"/>
      <c r="I93" s="12"/>
      <c r="J93" s="14"/>
      <c r="K93" s="12"/>
      <c r="L93" s="14"/>
      <c r="M93" s="12"/>
      <c r="N93" s="14"/>
      <c r="O93" s="12"/>
      <c r="P93" s="14"/>
      <c r="Q93" s="12"/>
      <c r="R93" s="12"/>
      <c r="S93" s="10"/>
      <c r="T93" s="10"/>
    </row>
    <row r="94" spans="1:20" x14ac:dyDescent="0.15">
      <c r="A94" s="26"/>
      <c r="B94" s="11" t="s">
        <v>73</v>
      </c>
      <c r="C94" s="12"/>
      <c r="D94" s="13"/>
      <c r="E94" s="12"/>
      <c r="F94" s="14"/>
      <c r="G94" s="12"/>
      <c r="H94" s="14"/>
      <c r="I94" s="12"/>
      <c r="J94" s="14"/>
      <c r="K94" s="12"/>
      <c r="L94" s="14"/>
      <c r="M94" s="12"/>
      <c r="N94" s="14"/>
      <c r="O94" s="12"/>
      <c r="P94" s="14"/>
      <c r="Q94" s="12"/>
      <c r="R94" s="12"/>
      <c r="S94" s="10"/>
      <c r="T94" s="10"/>
    </row>
    <row r="95" spans="1:20" x14ac:dyDescent="0.15">
      <c r="A95" s="27"/>
      <c r="B95" s="11" t="s">
        <v>74</v>
      </c>
      <c r="C95" s="12"/>
      <c r="D95" s="13"/>
      <c r="E95" s="12"/>
      <c r="F95" s="14"/>
      <c r="G95" s="12"/>
      <c r="H95" s="14"/>
      <c r="I95" s="12"/>
      <c r="J95" s="14"/>
      <c r="K95" s="12"/>
      <c r="L95" s="14"/>
      <c r="M95" s="12"/>
      <c r="N95" s="14"/>
      <c r="O95" s="12"/>
      <c r="P95" s="14"/>
      <c r="Q95" s="12"/>
      <c r="R95" s="12"/>
      <c r="S95" s="10"/>
      <c r="T95" s="10"/>
    </row>
    <row r="96" spans="1:20" x14ac:dyDescent="0.15">
      <c r="A96" s="25" t="s">
        <v>35</v>
      </c>
      <c r="B96" s="6" t="s">
        <v>69</v>
      </c>
      <c r="C96" s="7"/>
      <c r="D96" s="8"/>
      <c r="E96" s="7"/>
      <c r="F96" s="9"/>
      <c r="G96" s="7"/>
      <c r="H96" s="9"/>
      <c r="I96" s="7"/>
      <c r="J96" s="9"/>
      <c r="K96" s="7"/>
      <c r="L96" s="9"/>
      <c r="M96" s="7"/>
      <c r="N96" s="9"/>
      <c r="O96" s="7"/>
      <c r="P96" s="9"/>
      <c r="Q96" s="7"/>
      <c r="R96" s="7"/>
      <c r="S96" s="10"/>
      <c r="T96" s="10"/>
    </row>
    <row r="97" spans="1:20" x14ac:dyDescent="0.15">
      <c r="A97" s="26"/>
      <c r="B97" s="11" t="s">
        <v>70</v>
      </c>
      <c r="C97" s="12"/>
      <c r="D97" s="13"/>
      <c r="E97" s="12"/>
      <c r="F97" s="14"/>
      <c r="G97" s="12"/>
      <c r="H97" s="14"/>
      <c r="I97" s="12"/>
      <c r="J97" s="14"/>
      <c r="K97" s="12"/>
      <c r="L97" s="14"/>
      <c r="M97" s="12"/>
      <c r="N97" s="14"/>
      <c r="O97" s="12"/>
      <c r="P97" s="14"/>
      <c r="Q97" s="12"/>
      <c r="R97" s="12"/>
      <c r="S97" s="10"/>
      <c r="T97" s="10"/>
    </row>
    <row r="98" spans="1:20" x14ac:dyDescent="0.15">
      <c r="A98" s="26"/>
      <c r="B98" s="11" t="s">
        <v>71</v>
      </c>
      <c r="C98" s="12"/>
      <c r="D98" s="13"/>
      <c r="E98" s="12"/>
      <c r="F98" s="14"/>
      <c r="G98" s="12"/>
      <c r="H98" s="14"/>
      <c r="I98" s="12"/>
      <c r="J98" s="14"/>
      <c r="K98" s="12"/>
      <c r="L98" s="14"/>
      <c r="M98" s="12"/>
      <c r="N98" s="14"/>
      <c r="O98" s="12"/>
      <c r="P98" s="14"/>
      <c r="Q98" s="12"/>
      <c r="R98" s="12"/>
      <c r="S98" s="10"/>
      <c r="T98" s="10"/>
    </row>
    <row r="99" spans="1:20" x14ac:dyDescent="0.15">
      <c r="A99" s="26"/>
      <c r="B99" s="11" t="s">
        <v>72</v>
      </c>
      <c r="C99" s="12"/>
      <c r="D99" s="13"/>
      <c r="E99" s="12"/>
      <c r="F99" s="14"/>
      <c r="G99" s="12"/>
      <c r="H99" s="14"/>
      <c r="I99" s="12"/>
      <c r="J99" s="14"/>
      <c r="K99" s="12"/>
      <c r="L99" s="14"/>
      <c r="M99" s="12"/>
      <c r="N99" s="14"/>
      <c r="O99" s="12"/>
      <c r="P99" s="14"/>
      <c r="Q99" s="12"/>
      <c r="R99" s="12"/>
      <c r="S99" s="10"/>
      <c r="T99" s="10"/>
    </row>
    <row r="100" spans="1:20" x14ac:dyDescent="0.15">
      <c r="A100" s="26"/>
      <c r="B100" s="11" t="s">
        <v>73</v>
      </c>
      <c r="C100" s="12"/>
      <c r="D100" s="13"/>
      <c r="E100" s="12"/>
      <c r="F100" s="14"/>
      <c r="G100" s="12"/>
      <c r="H100" s="14"/>
      <c r="I100" s="12"/>
      <c r="J100" s="14"/>
      <c r="K100" s="12"/>
      <c r="L100" s="14"/>
      <c r="M100" s="12"/>
      <c r="N100" s="14"/>
      <c r="O100" s="12"/>
      <c r="P100" s="14"/>
      <c r="Q100" s="12"/>
      <c r="R100" s="12"/>
      <c r="S100" s="10"/>
      <c r="T100" s="10"/>
    </row>
    <row r="101" spans="1:20" x14ac:dyDescent="0.15">
      <c r="A101" s="27"/>
      <c r="B101" s="11" t="s">
        <v>74</v>
      </c>
      <c r="C101" s="12"/>
      <c r="D101" s="13"/>
      <c r="E101" s="12"/>
      <c r="F101" s="14"/>
      <c r="G101" s="12"/>
      <c r="H101" s="14"/>
      <c r="I101" s="12"/>
      <c r="J101" s="14"/>
      <c r="K101" s="12"/>
      <c r="L101" s="14"/>
      <c r="M101" s="12"/>
      <c r="N101" s="14"/>
      <c r="O101" s="12"/>
      <c r="P101" s="14"/>
      <c r="Q101" s="12"/>
      <c r="R101" s="12"/>
      <c r="S101" s="10"/>
      <c r="T101" s="10"/>
    </row>
    <row r="102" spans="1:20" x14ac:dyDescent="0.15">
      <c r="A102" s="25" t="s">
        <v>36</v>
      </c>
      <c r="B102" s="6" t="s">
        <v>69</v>
      </c>
      <c r="C102" s="7"/>
      <c r="D102" s="8"/>
      <c r="E102" s="7"/>
      <c r="F102" s="9"/>
      <c r="G102" s="7"/>
      <c r="H102" s="9"/>
      <c r="I102" s="7"/>
      <c r="J102" s="9"/>
      <c r="K102" s="7"/>
      <c r="L102" s="9"/>
      <c r="M102" s="7"/>
      <c r="N102" s="9"/>
      <c r="O102" s="7"/>
      <c r="P102" s="9"/>
      <c r="Q102" s="7"/>
      <c r="R102" s="7"/>
      <c r="S102" s="10"/>
      <c r="T102" s="10"/>
    </row>
    <row r="103" spans="1:20" x14ac:dyDescent="0.15">
      <c r="A103" s="26"/>
      <c r="B103" s="11" t="s">
        <v>70</v>
      </c>
      <c r="C103" s="12"/>
      <c r="D103" s="13"/>
      <c r="E103" s="12"/>
      <c r="F103" s="14"/>
      <c r="G103" s="12"/>
      <c r="H103" s="14"/>
      <c r="I103" s="12"/>
      <c r="J103" s="14"/>
      <c r="K103" s="12"/>
      <c r="L103" s="14"/>
      <c r="M103" s="12"/>
      <c r="N103" s="14"/>
      <c r="O103" s="12"/>
      <c r="P103" s="14"/>
      <c r="Q103" s="12"/>
      <c r="R103" s="12"/>
      <c r="S103" s="10"/>
      <c r="T103" s="10"/>
    </row>
    <row r="104" spans="1:20" x14ac:dyDescent="0.15">
      <c r="A104" s="26"/>
      <c r="B104" s="11" t="s">
        <v>71</v>
      </c>
      <c r="C104" s="12"/>
      <c r="D104" s="13"/>
      <c r="E104" s="12"/>
      <c r="F104" s="14"/>
      <c r="G104" s="12"/>
      <c r="H104" s="14"/>
      <c r="I104" s="12"/>
      <c r="J104" s="14"/>
      <c r="K104" s="12"/>
      <c r="L104" s="14"/>
      <c r="M104" s="12"/>
      <c r="N104" s="14"/>
      <c r="O104" s="12"/>
      <c r="P104" s="14"/>
      <c r="Q104" s="12"/>
      <c r="R104" s="12"/>
      <c r="S104" s="10"/>
      <c r="T104" s="10"/>
    </row>
    <row r="105" spans="1:20" x14ac:dyDescent="0.15">
      <c r="A105" s="26"/>
      <c r="B105" s="11" t="s">
        <v>72</v>
      </c>
      <c r="C105" s="12"/>
      <c r="D105" s="13"/>
      <c r="E105" s="12"/>
      <c r="F105" s="14"/>
      <c r="G105" s="12"/>
      <c r="H105" s="14"/>
      <c r="I105" s="12"/>
      <c r="J105" s="14"/>
      <c r="K105" s="12"/>
      <c r="L105" s="14"/>
      <c r="M105" s="12"/>
      <c r="N105" s="14"/>
      <c r="O105" s="12"/>
      <c r="P105" s="14"/>
      <c r="Q105" s="12"/>
      <c r="R105" s="12"/>
      <c r="S105" s="10"/>
      <c r="T105" s="10"/>
    </row>
    <row r="106" spans="1:20" x14ac:dyDescent="0.15">
      <c r="A106" s="26"/>
      <c r="B106" s="11" t="s">
        <v>73</v>
      </c>
      <c r="C106" s="12"/>
      <c r="D106" s="13"/>
      <c r="E106" s="12"/>
      <c r="F106" s="14"/>
      <c r="G106" s="12"/>
      <c r="H106" s="14"/>
      <c r="I106" s="12"/>
      <c r="J106" s="14"/>
      <c r="K106" s="12"/>
      <c r="L106" s="14"/>
      <c r="M106" s="12"/>
      <c r="N106" s="14"/>
      <c r="O106" s="12"/>
      <c r="P106" s="14"/>
      <c r="Q106" s="12"/>
      <c r="R106" s="12"/>
      <c r="S106" s="10"/>
      <c r="T106" s="10"/>
    </row>
    <row r="107" spans="1:20" x14ac:dyDescent="0.15">
      <c r="A107" s="27"/>
      <c r="B107" s="11" t="s">
        <v>74</v>
      </c>
      <c r="C107" s="12"/>
      <c r="D107" s="13"/>
      <c r="E107" s="12"/>
      <c r="F107" s="14"/>
      <c r="G107" s="12"/>
      <c r="H107" s="14"/>
      <c r="I107" s="12"/>
      <c r="J107" s="14"/>
      <c r="K107" s="12"/>
      <c r="L107" s="14"/>
      <c r="M107" s="12"/>
      <c r="N107" s="14"/>
      <c r="O107" s="12"/>
      <c r="P107" s="14"/>
      <c r="Q107" s="12"/>
      <c r="R107" s="12"/>
      <c r="S107" s="10"/>
      <c r="T107" s="10"/>
    </row>
    <row r="108" spans="1:20" x14ac:dyDescent="0.15">
      <c r="A108" s="25" t="s">
        <v>37</v>
      </c>
      <c r="B108" s="6" t="s">
        <v>69</v>
      </c>
      <c r="C108" s="7"/>
      <c r="D108" s="8"/>
      <c r="E108" s="7"/>
      <c r="F108" s="9"/>
      <c r="G108" s="7"/>
      <c r="H108" s="9"/>
      <c r="I108" s="7"/>
      <c r="J108" s="9"/>
      <c r="K108" s="7"/>
      <c r="L108" s="9"/>
      <c r="M108" s="7"/>
      <c r="N108" s="9"/>
      <c r="O108" s="7"/>
      <c r="P108" s="9"/>
      <c r="Q108" s="7"/>
      <c r="R108" s="7"/>
      <c r="S108" s="10"/>
      <c r="T108" s="10"/>
    </row>
    <row r="109" spans="1:20" x14ac:dyDescent="0.15">
      <c r="A109" s="26"/>
      <c r="B109" s="11" t="s">
        <v>70</v>
      </c>
      <c r="C109" s="12"/>
      <c r="D109" s="13"/>
      <c r="E109" s="12"/>
      <c r="F109" s="14"/>
      <c r="G109" s="12"/>
      <c r="H109" s="14"/>
      <c r="I109" s="12"/>
      <c r="J109" s="14"/>
      <c r="K109" s="12"/>
      <c r="L109" s="14"/>
      <c r="M109" s="12"/>
      <c r="N109" s="14"/>
      <c r="O109" s="12"/>
      <c r="P109" s="14"/>
      <c r="Q109" s="12"/>
      <c r="R109" s="12"/>
      <c r="S109" s="10"/>
      <c r="T109" s="10"/>
    </row>
    <row r="110" spans="1:20" x14ac:dyDescent="0.15">
      <c r="A110" s="26"/>
      <c r="B110" s="11" t="s">
        <v>71</v>
      </c>
      <c r="C110" s="12"/>
      <c r="D110" s="13"/>
      <c r="E110" s="12"/>
      <c r="F110" s="14"/>
      <c r="G110" s="12"/>
      <c r="H110" s="14"/>
      <c r="I110" s="12"/>
      <c r="J110" s="14"/>
      <c r="K110" s="12"/>
      <c r="L110" s="14"/>
      <c r="M110" s="12"/>
      <c r="N110" s="14"/>
      <c r="O110" s="12"/>
      <c r="P110" s="14"/>
      <c r="Q110" s="12"/>
      <c r="R110" s="12"/>
      <c r="S110" s="10"/>
      <c r="T110" s="10"/>
    </row>
    <row r="111" spans="1:20" x14ac:dyDescent="0.15">
      <c r="A111" s="26"/>
      <c r="B111" s="11" t="s">
        <v>72</v>
      </c>
      <c r="C111" s="12"/>
      <c r="D111" s="13"/>
      <c r="E111" s="12"/>
      <c r="F111" s="14"/>
      <c r="G111" s="12"/>
      <c r="H111" s="14"/>
      <c r="I111" s="12"/>
      <c r="J111" s="14"/>
      <c r="K111" s="12"/>
      <c r="L111" s="14"/>
      <c r="M111" s="12"/>
      <c r="N111" s="14"/>
      <c r="O111" s="12"/>
      <c r="P111" s="14"/>
      <c r="Q111" s="12"/>
      <c r="R111" s="12"/>
      <c r="S111" s="10"/>
      <c r="T111" s="10"/>
    </row>
    <row r="112" spans="1:20" x14ac:dyDescent="0.15">
      <c r="A112" s="26"/>
      <c r="B112" s="11" t="s">
        <v>73</v>
      </c>
      <c r="C112" s="12"/>
      <c r="D112" s="13"/>
      <c r="E112" s="12"/>
      <c r="F112" s="14"/>
      <c r="G112" s="12"/>
      <c r="H112" s="14"/>
      <c r="I112" s="12"/>
      <c r="J112" s="14"/>
      <c r="K112" s="12"/>
      <c r="L112" s="14"/>
      <c r="M112" s="12"/>
      <c r="N112" s="14"/>
      <c r="O112" s="12"/>
      <c r="P112" s="14"/>
      <c r="Q112" s="12"/>
      <c r="R112" s="12"/>
      <c r="S112" s="10"/>
      <c r="T112" s="10"/>
    </row>
    <row r="113" spans="1:20" x14ac:dyDescent="0.15">
      <c r="A113" s="27"/>
      <c r="B113" s="11" t="s">
        <v>74</v>
      </c>
      <c r="C113" s="12"/>
      <c r="D113" s="13"/>
      <c r="E113" s="12"/>
      <c r="F113" s="14"/>
      <c r="G113" s="12"/>
      <c r="H113" s="14"/>
      <c r="I113" s="12"/>
      <c r="J113" s="14"/>
      <c r="K113" s="12"/>
      <c r="L113" s="14"/>
      <c r="M113" s="12"/>
      <c r="N113" s="14"/>
      <c r="O113" s="12"/>
      <c r="P113" s="14"/>
      <c r="Q113" s="12"/>
      <c r="R113" s="12"/>
      <c r="S113" s="10"/>
      <c r="T113" s="10"/>
    </row>
    <row r="114" spans="1:20" x14ac:dyDescent="0.15">
      <c r="A114" s="25" t="s">
        <v>38</v>
      </c>
      <c r="B114" s="6" t="s">
        <v>69</v>
      </c>
      <c r="C114" s="7"/>
      <c r="D114" s="8"/>
      <c r="E114" s="7"/>
      <c r="F114" s="9"/>
      <c r="G114" s="7"/>
      <c r="H114" s="9"/>
      <c r="I114" s="7"/>
      <c r="J114" s="9"/>
      <c r="K114" s="7"/>
      <c r="L114" s="9"/>
      <c r="M114" s="7"/>
      <c r="N114" s="9"/>
      <c r="O114" s="7"/>
      <c r="P114" s="9"/>
      <c r="Q114" s="7"/>
      <c r="R114" s="7"/>
      <c r="S114" s="10"/>
      <c r="T114" s="10"/>
    </row>
    <row r="115" spans="1:20" x14ac:dyDescent="0.15">
      <c r="A115" s="26"/>
      <c r="B115" s="11" t="s">
        <v>70</v>
      </c>
      <c r="C115" s="12"/>
      <c r="D115" s="13"/>
      <c r="E115" s="12"/>
      <c r="F115" s="14"/>
      <c r="G115" s="12"/>
      <c r="H115" s="14"/>
      <c r="I115" s="12"/>
      <c r="J115" s="14"/>
      <c r="K115" s="12"/>
      <c r="L115" s="14"/>
      <c r="M115" s="12"/>
      <c r="N115" s="14"/>
      <c r="O115" s="12"/>
      <c r="P115" s="14"/>
      <c r="Q115" s="12"/>
      <c r="R115" s="12"/>
      <c r="S115" s="10"/>
      <c r="T115" s="10"/>
    </row>
    <row r="116" spans="1:20" x14ac:dyDescent="0.15">
      <c r="A116" s="26"/>
      <c r="B116" s="11" t="s">
        <v>71</v>
      </c>
      <c r="C116" s="12"/>
      <c r="D116" s="13"/>
      <c r="E116" s="12"/>
      <c r="F116" s="14"/>
      <c r="G116" s="12"/>
      <c r="H116" s="14"/>
      <c r="I116" s="12"/>
      <c r="J116" s="14"/>
      <c r="K116" s="12"/>
      <c r="L116" s="14"/>
      <c r="M116" s="12"/>
      <c r="N116" s="14"/>
      <c r="O116" s="12"/>
      <c r="P116" s="14"/>
      <c r="Q116" s="12"/>
      <c r="R116" s="12"/>
      <c r="S116" s="10"/>
      <c r="T116" s="10"/>
    </row>
    <row r="117" spans="1:20" x14ac:dyDescent="0.15">
      <c r="A117" s="26"/>
      <c r="B117" s="11" t="s">
        <v>72</v>
      </c>
      <c r="C117" s="12"/>
      <c r="D117" s="13"/>
      <c r="E117" s="12"/>
      <c r="F117" s="14"/>
      <c r="G117" s="12"/>
      <c r="H117" s="14"/>
      <c r="I117" s="12"/>
      <c r="J117" s="14"/>
      <c r="K117" s="12"/>
      <c r="L117" s="14"/>
      <c r="M117" s="12"/>
      <c r="N117" s="14"/>
      <c r="O117" s="12"/>
      <c r="P117" s="14"/>
      <c r="Q117" s="12"/>
      <c r="R117" s="12"/>
      <c r="S117" s="10"/>
      <c r="T117" s="10"/>
    </row>
    <row r="118" spans="1:20" x14ac:dyDescent="0.15">
      <c r="A118" s="26"/>
      <c r="B118" s="11" t="s">
        <v>73</v>
      </c>
      <c r="C118" s="12"/>
      <c r="D118" s="13"/>
      <c r="E118" s="12"/>
      <c r="F118" s="14"/>
      <c r="G118" s="12"/>
      <c r="H118" s="14"/>
      <c r="I118" s="12"/>
      <c r="J118" s="14"/>
      <c r="K118" s="12"/>
      <c r="L118" s="14"/>
      <c r="M118" s="12"/>
      <c r="N118" s="14"/>
      <c r="O118" s="12"/>
      <c r="P118" s="14"/>
      <c r="Q118" s="12"/>
      <c r="R118" s="12"/>
      <c r="S118" s="10"/>
      <c r="T118" s="10"/>
    </row>
    <row r="119" spans="1:20" x14ac:dyDescent="0.15">
      <c r="A119" s="27"/>
      <c r="B119" s="11" t="s">
        <v>74</v>
      </c>
      <c r="C119" s="12"/>
      <c r="D119" s="13"/>
      <c r="E119" s="12"/>
      <c r="F119" s="14"/>
      <c r="G119" s="12"/>
      <c r="H119" s="14"/>
      <c r="I119" s="12"/>
      <c r="J119" s="14"/>
      <c r="K119" s="12"/>
      <c r="L119" s="14"/>
      <c r="M119" s="12"/>
      <c r="N119" s="14"/>
      <c r="O119" s="12"/>
      <c r="P119" s="14"/>
      <c r="Q119" s="12"/>
      <c r="R119" s="12"/>
      <c r="S119" s="10"/>
      <c r="T119" s="10"/>
    </row>
    <row r="120" spans="1:20" x14ac:dyDescent="0.15">
      <c r="A120" s="25" t="s">
        <v>39</v>
      </c>
      <c r="B120" s="6" t="s">
        <v>69</v>
      </c>
      <c r="C120" s="7"/>
      <c r="D120" s="8"/>
      <c r="E120" s="7"/>
      <c r="F120" s="9"/>
      <c r="G120" s="7"/>
      <c r="H120" s="9"/>
      <c r="I120" s="7"/>
      <c r="J120" s="9"/>
      <c r="K120" s="7"/>
      <c r="L120" s="9"/>
      <c r="M120" s="7"/>
      <c r="N120" s="9"/>
      <c r="O120" s="7"/>
      <c r="P120" s="9"/>
      <c r="Q120" s="7"/>
      <c r="R120" s="7"/>
      <c r="S120" s="10"/>
      <c r="T120" s="10"/>
    </row>
    <row r="121" spans="1:20" x14ac:dyDescent="0.15">
      <c r="A121" s="26"/>
      <c r="B121" s="11" t="s">
        <v>70</v>
      </c>
      <c r="C121" s="12"/>
      <c r="D121" s="13"/>
      <c r="E121" s="12"/>
      <c r="F121" s="14"/>
      <c r="G121" s="12"/>
      <c r="H121" s="14"/>
      <c r="I121" s="12"/>
      <c r="J121" s="14"/>
      <c r="K121" s="12"/>
      <c r="L121" s="14"/>
      <c r="M121" s="12"/>
      <c r="N121" s="14"/>
      <c r="O121" s="12"/>
      <c r="P121" s="14"/>
      <c r="Q121" s="12"/>
      <c r="R121" s="12"/>
      <c r="S121" s="10"/>
      <c r="T121" s="10"/>
    </row>
    <row r="122" spans="1:20" x14ac:dyDescent="0.15">
      <c r="A122" s="26"/>
      <c r="B122" s="11" t="s">
        <v>71</v>
      </c>
      <c r="C122" s="12"/>
      <c r="D122" s="13"/>
      <c r="E122" s="12"/>
      <c r="F122" s="14"/>
      <c r="G122" s="12"/>
      <c r="H122" s="14"/>
      <c r="I122" s="12"/>
      <c r="J122" s="14"/>
      <c r="K122" s="12"/>
      <c r="L122" s="14"/>
      <c r="M122" s="12"/>
      <c r="N122" s="14"/>
      <c r="O122" s="12"/>
      <c r="P122" s="14"/>
      <c r="Q122" s="12"/>
      <c r="R122" s="12"/>
      <c r="S122" s="10"/>
      <c r="T122" s="10"/>
    </row>
    <row r="123" spans="1:20" x14ac:dyDescent="0.15">
      <c r="A123" s="26"/>
      <c r="B123" s="11" t="s">
        <v>72</v>
      </c>
      <c r="C123" s="12"/>
      <c r="D123" s="13"/>
      <c r="E123" s="12"/>
      <c r="F123" s="14"/>
      <c r="G123" s="12"/>
      <c r="H123" s="14"/>
      <c r="I123" s="12"/>
      <c r="J123" s="14"/>
      <c r="K123" s="12"/>
      <c r="L123" s="14"/>
      <c r="M123" s="12"/>
      <c r="N123" s="14"/>
      <c r="O123" s="12"/>
      <c r="P123" s="14"/>
      <c r="Q123" s="12"/>
      <c r="R123" s="12"/>
      <c r="S123" s="10"/>
      <c r="T123" s="10"/>
    </row>
    <row r="124" spans="1:20" x14ac:dyDescent="0.15">
      <c r="A124" s="26"/>
      <c r="B124" s="11" t="s">
        <v>73</v>
      </c>
      <c r="C124" s="12"/>
      <c r="D124" s="13"/>
      <c r="E124" s="12"/>
      <c r="F124" s="14"/>
      <c r="G124" s="12"/>
      <c r="H124" s="14"/>
      <c r="I124" s="12"/>
      <c r="J124" s="14"/>
      <c r="K124" s="12"/>
      <c r="L124" s="14"/>
      <c r="M124" s="12"/>
      <c r="N124" s="14"/>
      <c r="O124" s="12"/>
      <c r="P124" s="14"/>
      <c r="Q124" s="12"/>
      <c r="R124" s="12"/>
      <c r="S124" s="10"/>
      <c r="T124" s="10"/>
    </row>
    <row r="125" spans="1:20" x14ac:dyDescent="0.15">
      <c r="A125" s="27"/>
      <c r="B125" s="15" t="s">
        <v>74</v>
      </c>
      <c r="C125" s="16"/>
      <c r="D125" s="17"/>
      <c r="E125" s="16"/>
      <c r="F125" s="18"/>
      <c r="G125" s="16"/>
      <c r="H125" s="18"/>
      <c r="I125" s="16"/>
      <c r="J125" s="18"/>
      <c r="K125" s="16"/>
      <c r="L125" s="18"/>
      <c r="M125" s="16"/>
      <c r="N125" s="18"/>
      <c r="O125" s="16"/>
      <c r="P125" s="18"/>
      <c r="Q125" s="16"/>
      <c r="R125" s="16"/>
      <c r="S125" s="10"/>
      <c r="T125" s="10"/>
    </row>
    <row r="126" spans="1:20" x14ac:dyDescent="0.15">
      <c r="A126" s="25" t="s">
        <v>40</v>
      </c>
      <c r="B126" s="6" t="s">
        <v>69</v>
      </c>
      <c r="C126" s="7"/>
      <c r="D126" s="8"/>
      <c r="E126" s="7"/>
      <c r="F126" s="9"/>
      <c r="G126" s="7"/>
      <c r="H126" s="9"/>
      <c r="I126" s="7"/>
      <c r="J126" s="9"/>
      <c r="K126" s="7"/>
      <c r="L126" s="9"/>
      <c r="M126" s="7"/>
      <c r="N126" s="9"/>
      <c r="O126" s="7"/>
      <c r="P126" s="9"/>
      <c r="Q126" s="7"/>
      <c r="R126" s="7"/>
      <c r="S126" s="10"/>
      <c r="T126" s="10"/>
    </row>
    <row r="127" spans="1:20" x14ac:dyDescent="0.15">
      <c r="A127" s="26"/>
      <c r="B127" s="11" t="s">
        <v>70</v>
      </c>
      <c r="C127" s="12"/>
      <c r="D127" s="13"/>
      <c r="E127" s="12"/>
      <c r="F127" s="14"/>
      <c r="G127" s="12"/>
      <c r="H127" s="14"/>
      <c r="I127" s="12"/>
      <c r="J127" s="14"/>
      <c r="K127" s="12"/>
      <c r="L127" s="14"/>
      <c r="M127" s="12"/>
      <c r="N127" s="14"/>
      <c r="O127" s="12"/>
      <c r="P127" s="14"/>
      <c r="Q127" s="12"/>
      <c r="R127" s="12"/>
      <c r="S127" s="10"/>
      <c r="T127" s="10"/>
    </row>
    <row r="128" spans="1:20" x14ac:dyDescent="0.15">
      <c r="A128" s="26"/>
      <c r="B128" s="11" t="s">
        <v>71</v>
      </c>
      <c r="C128" s="12"/>
      <c r="D128" s="13"/>
      <c r="E128" s="12"/>
      <c r="F128" s="14"/>
      <c r="G128" s="12"/>
      <c r="H128" s="14"/>
      <c r="I128" s="12"/>
      <c r="J128" s="14"/>
      <c r="K128" s="12"/>
      <c r="L128" s="14"/>
      <c r="M128" s="12"/>
      <c r="N128" s="14"/>
      <c r="O128" s="12"/>
      <c r="P128" s="14"/>
      <c r="Q128" s="12"/>
      <c r="R128" s="12"/>
      <c r="S128" s="10"/>
      <c r="T128" s="10"/>
    </row>
    <row r="129" spans="1:20" x14ac:dyDescent="0.15">
      <c r="A129" s="26"/>
      <c r="B129" s="11" t="s">
        <v>72</v>
      </c>
      <c r="C129" s="12"/>
      <c r="D129" s="13"/>
      <c r="E129" s="12"/>
      <c r="F129" s="14"/>
      <c r="G129" s="12"/>
      <c r="H129" s="14"/>
      <c r="I129" s="12"/>
      <c r="J129" s="14"/>
      <c r="K129" s="12"/>
      <c r="L129" s="14"/>
      <c r="M129" s="12"/>
      <c r="N129" s="14"/>
      <c r="O129" s="12"/>
      <c r="P129" s="14"/>
      <c r="Q129" s="12"/>
      <c r="R129" s="12"/>
      <c r="S129" s="10"/>
      <c r="T129" s="10"/>
    </row>
    <row r="130" spans="1:20" x14ac:dyDescent="0.15">
      <c r="A130" s="26"/>
      <c r="B130" s="11" t="s">
        <v>73</v>
      </c>
      <c r="C130" s="12"/>
      <c r="D130" s="13"/>
      <c r="E130" s="12"/>
      <c r="F130" s="14"/>
      <c r="G130" s="12"/>
      <c r="H130" s="14"/>
      <c r="I130" s="12"/>
      <c r="J130" s="14"/>
      <c r="K130" s="12"/>
      <c r="L130" s="14"/>
      <c r="M130" s="12"/>
      <c r="N130" s="14"/>
      <c r="O130" s="12"/>
      <c r="P130" s="14"/>
      <c r="Q130" s="12"/>
      <c r="R130" s="12"/>
      <c r="S130" s="10"/>
      <c r="T130" s="10"/>
    </row>
    <row r="131" spans="1:20" x14ac:dyDescent="0.15">
      <c r="A131" s="27"/>
      <c r="B131" s="11" t="s">
        <v>74</v>
      </c>
      <c r="C131" s="12"/>
      <c r="D131" s="13"/>
      <c r="E131" s="12"/>
      <c r="F131" s="14"/>
      <c r="G131" s="12"/>
      <c r="H131" s="14"/>
      <c r="I131" s="12"/>
      <c r="J131" s="14"/>
      <c r="K131" s="12"/>
      <c r="L131" s="14"/>
      <c r="M131" s="12"/>
      <c r="N131" s="14"/>
      <c r="O131" s="12"/>
      <c r="P131" s="14"/>
      <c r="Q131" s="12"/>
      <c r="R131" s="12"/>
      <c r="S131" s="10"/>
      <c r="T131" s="10"/>
    </row>
    <row r="132" spans="1:20" x14ac:dyDescent="0.15">
      <c r="A132" s="25" t="s">
        <v>41</v>
      </c>
      <c r="B132" s="6" t="s">
        <v>69</v>
      </c>
      <c r="C132" s="7"/>
      <c r="D132" s="8"/>
      <c r="E132" s="7"/>
      <c r="F132" s="9"/>
      <c r="G132" s="7"/>
      <c r="H132" s="9"/>
      <c r="I132" s="7"/>
      <c r="J132" s="9"/>
      <c r="K132" s="7"/>
      <c r="L132" s="9"/>
      <c r="M132" s="7"/>
      <c r="N132" s="9"/>
      <c r="O132" s="7"/>
      <c r="P132" s="9"/>
      <c r="Q132" s="7"/>
      <c r="R132" s="7"/>
      <c r="S132" s="10"/>
      <c r="T132" s="10"/>
    </row>
    <row r="133" spans="1:20" x14ac:dyDescent="0.15">
      <c r="A133" s="26"/>
      <c r="B133" s="11" t="s">
        <v>70</v>
      </c>
      <c r="C133" s="12"/>
      <c r="D133" s="13"/>
      <c r="E133" s="12"/>
      <c r="F133" s="14"/>
      <c r="G133" s="12"/>
      <c r="H133" s="14"/>
      <c r="I133" s="12"/>
      <c r="J133" s="14"/>
      <c r="K133" s="12"/>
      <c r="L133" s="14"/>
      <c r="M133" s="12"/>
      <c r="N133" s="14"/>
      <c r="O133" s="12"/>
      <c r="P133" s="14"/>
      <c r="Q133" s="12"/>
      <c r="R133" s="12"/>
      <c r="S133" s="10"/>
      <c r="T133" s="10"/>
    </row>
    <row r="134" spans="1:20" x14ac:dyDescent="0.15">
      <c r="A134" s="26"/>
      <c r="B134" s="11" t="s">
        <v>71</v>
      </c>
      <c r="C134" s="12"/>
      <c r="D134" s="13"/>
      <c r="E134" s="12"/>
      <c r="F134" s="14"/>
      <c r="G134" s="12"/>
      <c r="H134" s="14"/>
      <c r="I134" s="12"/>
      <c r="J134" s="14"/>
      <c r="K134" s="12"/>
      <c r="L134" s="14"/>
      <c r="M134" s="12"/>
      <c r="N134" s="14"/>
      <c r="O134" s="12"/>
      <c r="P134" s="14"/>
      <c r="Q134" s="12"/>
      <c r="R134" s="12"/>
      <c r="S134" s="10"/>
      <c r="T134" s="10"/>
    </row>
    <row r="135" spans="1:20" x14ac:dyDescent="0.15">
      <c r="A135" s="26"/>
      <c r="B135" s="11" t="s">
        <v>72</v>
      </c>
      <c r="C135" s="12"/>
      <c r="D135" s="13"/>
      <c r="E135" s="12"/>
      <c r="F135" s="14"/>
      <c r="G135" s="12"/>
      <c r="H135" s="14"/>
      <c r="I135" s="12"/>
      <c r="J135" s="14"/>
      <c r="K135" s="12"/>
      <c r="L135" s="14"/>
      <c r="M135" s="12"/>
      <c r="N135" s="14"/>
      <c r="O135" s="12"/>
      <c r="P135" s="14"/>
      <c r="Q135" s="12"/>
      <c r="R135" s="12"/>
      <c r="S135" s="10"/>
      <c r="T135" s="10"/>
    </row>
    <row r="136" spans="1:20" x14ac:dyDescent="0.15">
      <c r="A136" s="26"/>
      <c r="B136" s="11" t="s">
        <v>73</v>
      </c>
      <c r="C136" s="12"/>
      <c r="D136" s="13"/>
      <c r="E136" s="12"/>
      <c r="F136" s="14"/>
      <c r="G136" s="12"/>
      <c r="H136" s="14"/>
      <c r="I136" s="12"/>
      <c r="J136" s="14"/>
      <c r="K136" s="12"/>
      <c r="L136" s="14"/>
      <c r="M136" s="12"/>
      <c r="N136" s="14"/>
      <c r="O136" s="12"/>
      <c r="P136" s="14"/>
      <c r="Q136" s="12"/>
      <c r="R136" s="12"/>
      <c r="S136" s="10"/>
      <c r="T136" s="10"/>
    </row>
    <row r="137" spans="1:20" x14ac:dyDescent="0.15">
      <c r="A137" s="27"/>
      <c r="B137" s="11" t="s">
        <v>74</v>
      </c>
      <c r="C137" s="12"/>
      <c r="D137" s="13"/>
      <c r="E137" s="12"/>
      <c r="F137" s="14"/>
      <c r="G137" s="12"/>
      <c r="H137" s="14"/>
      <c r="I137" s="12"/>
      <c r="J137" s="14"/>
      <c r="K137" s="12"/>
      <c r="L137" s="14"/>
      <c r="M137" s="12"/>
      <c r="N137" s="14"/>
      <c r="O137" s="12"/>
      <c r="P137" s="14"/>
      <c r="Q137" s="12"/>
      <c r="R137" s="12"/>
      <c r="S137" s="10"/>
      <c r="T137" s="10"/>
    </row>
    <row r="138" spans="1:20" x14ac:dyDescent="0.15">
      <c r="A138" s="25" t="s">
        <v>42</v>
      </c>
      <c r="B138" s="6" t="s">
        <v>69</v>
      </c>
      <c r="C138" s="7"/>
      <c r="D138" s="8"/>
      <c r="E138" s="7"/>
      <c r="F138" s="9"/>
      <c r="G138" s="7"/>
      <c r="H138" s="9"/>
      <c r="I138" s="7"/>
      <c r="J138" s="9"/>
      <c r="K138" s="7"/>
      <c r="L138" s="9"/>
      <c r="M138" s="7"/>
      <c r="N138" s="9"/>
      <c r="O138" s="7"/>
      <c r="P138" s="9"/>
      <c r="Q138" s="7"/>
      <c r="R138" s="7"/>
      <c r="S138" s="10"/>
      <c r="T138" s="10"/>
    </row>
    <row r="139" spans="1:20" x14ac:dyDescent="0.15">
      <c r="A139" s="26"/>
      <c r="B139" s="11" t="s">
        <v>70</v>
      </c>
      <c r="C139" s="12"/>
      <c r="D139" s="13"/>
      <c r="E139" s="12"/>
      <c r="F139" s="14"/>
      <c r="G139" s="12"/>
      <c r="H139" s="14"/>
      <c r="I139" s="12"/>
      <c r="J139" s="14"/>
      <c r="K139" s="12"/>
      <c r="L139" s="14"/>
      <c r="M139" s="12"/>
      <c r="N139" s="14"/>
      <c r="O139" s="12"/>
      <c r="P139" s="14"/>
      <c r="Q139" s="12"/>
      <c r="R139" s="12"/>
      <c r="S139" s="10"/>
      <c r="T139" s="10"/>
    </row>
    <row r="140" spans="1:20" x14ac:dyDescent="0.15">
      <c r="A140" s="26"/>
      <c r="B140" s="11" t="s">
        <v>71</v>
      </c>
      <c r="C140" s="12"/>
      <c r="D140" s="13"/>
      <c r="E140" s="12"/>
      <c r="F140" s="14"/>
      <c r="G140" s="12"/>
      <c r="H140" s="14"/>
      <c r="I140" s="12"/>
      <c r="J140" s="14"/>
      <c r="K140" s="12"/>
      <c r="L140" s="14"/>
      <c r="M140" s="12"/>
      <c r="N140" s="14"/>
      <c r="O140" s="12"/>
      <c r="P140" s="14"/>
      <c r="Q140" s="12"/>
      <c r="R140" s="12"/>
      <c r="S140" s="10"/>
      <c r="T140" s="10"/>
    </row>
    <row r="141" spans="1:20" x14ac:dyDescent="0.15">
      <c r="A141" s="26"/>
      <c r="B141" s="11" t="s">
        <v>72</v>
      </c>
      <c r="C141" s="12"/>
      <c r="D141" s="13"/>
      <c r="E141" s="12"/>
      <c r="F141" s="14"/>
      <c r="G141" s="12"/>
      <c r="H141" s="14"/>
      <c r="I141" s="12"/>
      <c r="J141" s="14"/>
      <c r="K141" s="12"/>
      <c r="L141" s="14"/>
      <c r="M141" s="12"/>
      <c r="N141" s="14"/>
      <c r="O141" s="12"/>
      <c r="P141" s="14"/>
      <c r="Q141" s="12"/>
      <c r="R141" s="12"/>
      <c r="S141" s="10"/>
      <c r="T141" s="10"/>
    </row>
    <row r="142" spans="1:20" x14ac:dyDescent="0.15">
      <c r="A142" s="26"/>
      <c r="B142" s="11" t="s">
        <v>73</v>
      </c>
      <c r="C142" s="12"/>
      <c r="D142" s="13"/>
      <c r="E142" s="12"/>
      <c r="F142" s="14"/>
      <c r="G142" s="12"/>
      <c r="H142" s="14"/>
      <c r="I142" s="12"/>
      <c r="J142" s="14"/>
      <c r="K142" s="12"/>
      <c r="L142" s="14"/>
      <c r="M142" s="12"/>
      <c r="N142" s="14"/>
      <c r="O142" s="12"/>
      <c r="P142" s="14"/>
      <c r="Q142" s="12"/>
      <c r="R142" s="12"/>
      <c r="S142" s="10"/>
      <c r="T142" s="10"/>
    </row>
    <row r="143" spans="1:20" x14ac:dyDescent="0.15">
      <c r="A143" s="27"/>
      <c r="B143" s="11" t="s">
        <v>74</v>
      </c>
      <c r="C143" s="12"/>
      <c r="D143" s="13"/>
      <c r="E143" s="12"/>
      <c r="F143" s="14"/>
      <c r="G143" s="12"/>
      <c r="H143" s="14"/>
      <c r="I143" s="12"/>
      <c r="J143" s="14"/>
      <c r="K143" s="12"/>
      <c r="L143" s="14"/>
      <c r="M143" s="12"/>
      <c r="N143" s="14"/>
      <c r="O143" s="12"/>
      <c r="P143" s="14"/>
      <c r="Q143" s="12"/>
      <c r="R143" s="12"/>
      <c r="S143" s="10"/>
      <c r="T143" s="10"/>
    </row>
    <row r="144" spans="1:20" x14ac:dyDescent="0.15">
      <c r="A144" s="25" t="s">
        <v>43</v>
      </c>
      <c r="B144" s="6" t="s">
        <v>69</v>
      </c>
      <c r="C144" s="7"/>
      <c r="D144" s="8"/>
      <c r="E144" s="7"/>
      <c r="F144" s="9"/>
      <c r="G144" s="7"/>
      <c r="H144" s="9"/>
      <c r="I144" s="7"/>
      <c r="J144" s="9"/>
      <c r="K144" s="7"/>
      <c r="L144" s="9"/>
      <c r="M144" s="7"/>
      <c r="N144" s="9"/>
      <c r="O144" s="7"/>
      <c r="P144" s="9"/>
      <c r="Q144" s="7"/>
      <c r="R144" s="7"/>
      <c r="S144" s="10"/>
      <c r="T144" s="10"/>
    </row>
    <row r="145" spans="1:20" x14ac:dyDescent="0.15">
      <c r="A145" s="26"/>
      <c r="B145" s="11" t="s">
        <v>70</v>
      </c>
      <c r="C145" s="12"/>
      <c r="D145" s="13"/>
      <c r="E145" s="12"/>
      <c r="F145" s="14"/>
      <c r="G145" s="12"/>
      <c r="H145" s="14"/>
      <c r="I145" s="12"/>
      <c r="J145" s="14"/>
      <c r="K145" s="12"/>
      <c r="L145" s="14"/>
      <c r="M145" s="12"/>
      <c r="N145" s="14"/>
      <c r="O145" s="12"/>
      <c r="P145" s="14"/>
      <c r="Q145" s="12"/>
      <c r="R145" s="12"/>
      <c r="S145" s="10"/>
      <c r="T145" s="10"/>
    </row>
    <row r="146" spans="1:20" x14ac:dyDescent="0.15">
      <c r="A146" s="26"/>
      <c r="B146" s="11" t="s">
        <v>71</v>
      </c>
      <c r="C146" s="12"/>
      <c r="D146" s="13"/>
      <c r="E146" s="12"/>
      <c r="F146" s="14"/>
      <c r="G146" s="12"/>
      <c r="H146" s="14"/>
      <c r="I146" s="12"/>
      <c r="J146" s="14"/>
      <c r="K146" s="12"/>
      <c r="L146" s="14"/>
      <c r="M146" s="12"/>
      <c r="N146" s="14"/>
      <c r="O146" s="12"/>
      <c r="P146" s="14"/>
      <c r="Q146" s="12"/>
      <c r="R146" s="12"/>
      <c r="S146" s="10"/>
      <c r="T146" s="10"/>
    </row>
    <row r="147" spans="1:20" x14ac:dyDescent="0.15">
      <c r="A147" s="26"/>
      <c r="B147" s="11" t="s">
        <v>72</v>
      </c>
      <c r="C147" s="12"/>
      <c r="D147" s="13"/>
      <c r="E147" s="12"/>
      <c r="F147" s="14"/>
      <c r="G147" s="12"/>
      <c r="H147" s="14"/>
      <c r="I147" s="12"/>
      <c r="J147" s="14"/>
      <c r="K147" s="12"/>
      <c r="L147" s="14"/>
      <c r="M147" s="12"/>
      <c r="N147" s="14"/>
      <c r="O147" s="12"/>
      <c r="P147" s="14"/>
      <c r="Q147" s="12"/>
      <c r="R147" s="12"/>
      <c r="S147" s="10"/>
      <c r="T147" s="10"/>
    </row>
    <row r="148" spans="1:20" x14ac:dyDescent="0.15">
      <c r="A148" s="26"/>
      <c r="B148" s="11" t="s">
        <v>73</v>
      </c>
      <c r="C148" s="12"/>
      <c r="D148" s="13"/>
      <c r="E148" s="12"/>
      <c r="F148" s="14"/>
      <c r="G148" s="12"/>
      <c r="H148" s="14"/>
      <c r="I148" s="12"/>
      <c r="J148" s="14"/>
      <c r="K148" s="12"/>
      <c r="L148" s="14"/>
      <c r="M148" s="12"/>
      <c r="N148" s="14"/>
      <c r="O148" s="12"/>
      <c r="P148" s="14"/>
      <c r="Q148" s="12"/>
      <c r="R148" s="12"/>
      <c r="S148" s="10"/>
      <c r="T148" s="10"/>
    </row>
    <row r="149" spans="1:20" x14ac:dyDescent="0.15">
      <c r="A149" s="27"/>
      <c r="B149" s="11" t="s">
        <v>74</v>
      </c>
      <c r="C149" s="12"/>
      <c r="D149" s="13"/>
      <c r="E149" s="12"/>
      <c r="F149" s="14"/>
      <c r="G149" s="12"/>
      <c r="H149" s="14"/>
      <c r="I149" s="12"/>
      <c r="J149" s="14"/>
      <c r="K149" s="12"/>
      <c r="L149" s="14"/>
      <c r="M149" s="12"/>
      <c r="N149" s="14"/>
      <c r="O149" s="12"/>
      <c r="P149" s="14"/>
      <c r="Q149" s="12"/>
      <c r="R149" s="12"/>
      <c r="S149" s="10"/>
      <c r="T149" s="10"/>
    </row>
    <row r="150" spans="1:20" x14ac:dyDescent="0.15">
      <c r="A150" s="25" t="s">
        <v>44</v>
      </c>
      <c r="B150" s="6" t="s">
        <v>69</v>
      </c>
      <c r="C150" s="7"/>
      <c r="D150" s="8"/>
      <c r="E150" s="7"/>
      <c r="F150" s="9"/>
      <c r="G150" s="7"/>
      <c r="H150" s="9"/>
      <c r="I150" s="7"/>
      <c r="J150" s="9"/>
      <c r="K150" s="7"/>
      <c r="L150" s="9"/>
      <c r="M150" s="7"/>
      <c r="N150" s="9"/>
      <c r="O150" s="7"/>
      <c r="P150" s="9"/>
      <c r="Q150" s="7"/>
      <c r="R150" s="7"/>
      <c r="S150" s="10"/>
      <c r="T150" s="10"/>
    </row>
    <row r="151" spans="1:20" x14ac:dyDescent="0.15">
      <c r="A151" s="26"/>
      <c r="B151" s="11" t="s">
        <v>70</v>
      </c>
      <c r="C151" s="12"/>
      <c r="D151" s="13"/>
      <c r="E151" s="12"/>
      <c r="F151" s="14"/>
      <c r="G151" s="12"/>
      <c r="H151" s="14"/>
      <c r="I151" s="12"/>
      <c r="J151" s="14"/>
      <c r="K151" s="12"/>
      <c r="L151" s="14"/>
      <c r="M151" s="12"/>
      <c r="N151" s="14"/>
      <c r="O151" s="12"/>
      <c r="P151" s="14"/>
      <c r="Q151" s="12"/>
      <c r="R151" s="12"/>
      <c r="S151" s="10"/>
      <c r="T151" s="10"/>
    </row>
    <row r="152" spans="1:20" x14ac:dyDescent="0.15">
      <c r="A152" s="26"/>
      <c r="B152" s="11" t="s">
        <v>71</v>
      </c>
      <c r="C152" s="12"/>
      <c r="D152" s="13"/>
      <c r="E152" s="12"/>
      <c r="F152" s="14"/>
      <c r="G152" s="12"/>
      <c r="H152" s="14"/>
      <c r="I152" s="12"/>
      <c r="J152" s="14"/>
      <c r="K152" s="12"/>
      <c r="L152" s="14"/>
      <c r="M152" s="12"/>
      <c r="N152" s="14"/>
      <c r="O152" s="12"/>
      <c r="P152" s="14"/>
      <c r="Q152" s="12"/>
      <c r="R152" s="12"/>
      <c r="S152" s="10"/>
      <c r="T152" s="10"/>
    </row>
    <row r="153" spans="1:20" x14ac:dyDescent="0.15">
      <c r="A153" s="26"/>
      <c r="B153" s="11" t="s">
        <v>72</v>
      </c>
      <c r="C153" s="12"/>
      <c r="D153" s="13"/>
      <c r="E153" s="12"/>
      <c r="F153" s="14"/>
      <c r="G153" s="12"/>
      <c r="H153" s="14"/>
      <c r="I153" s="12"/>
      <c r="J153" s="14"/>
      <c r="K153" s="12"/>
      <c r="L153" s="14"/>
      <c r="M153" s="12"/>
      <c r="N153" s="14"/>
      <c r="O153" s="12"/>
      <c r="P153" s="14"/>
      <c r="Q153" s="12"/>
      <c r="R153" s="12"/>
      <c r="S153" s="10"/>
      <c r="T153" s="10"/>
    </row>
    <row r="154" spans="1:20" x14ac:dyDescent="0.15">
      <c r="A154" s="26"/>
      <c r="B154" s="11" t="s">
        <v>73</v>
      </c>
      <c r="C154" s="12"/>
      <c r="D154" s="13"/>
      <c r="E154" s="12"/>
      <c r="F154" s="14"/>
      <c r="G154" s="12"/>
      <c r="H154" s="14"/>
      <c r="I154" s="12"/>
      <c r="J154" s="14"/>
      <c r="K154" s="12"/>
      <c r="L154" s="14"/>
      <c r="M154" s="12"/>
      <c r="N154" s="14"/>
      <c r="O154" s="12"/>
      <c r="P154" s="14"/>
      <c r="Q154" s="12"/>
      <c r="R154" s="12"/>
      <c r="S154" s="10"/>
      <c r="T154" s="10"/>
    </row>
    <row r="155" spans="1:20" x14ac:dyDescent="0.15">
      <c r="A155" s="27"/>
      <c r="B155" s="11" t="s">
        <v>74</v>
      </c>
      <c r="C155" s="12"/>
      <c r="D155" s="13"/>
      <c r="E155" s="12"/>
      <c r="F155" s="14"/>
      <c r="G155" s="12"/>
      <c r="H155" s="14"/>
      <c r="I155" s="12"/>
      <c r="J155" s="14"/>
      <c r="K155" s="12"/>
      <c r="L155" s="14"/>
      <c r="M155" s="12"/>
      <c r="N155" s="14"/>
      <c r="O155" s="12"/>
      <c r="P155" s="14"/>
      <c r="Q155" s="12"/>
      <c r="R155" s="12"/>
      <c r="S155" s="10"/>
      <c r="T155" s="10"/>
    </row>
    <row r="156" spans="1:20" x14ac:dyDescent="0.15">
      <c r="A156" s="25" t="s">
        <v>45</v>
      </c>
      <c r="B156" s="6" t="s">
        <v>69</v>
      </c>
      <c r="C156" s="7"/>
      <c r="D156" s="8"/>
      <c r="E156" s="7"/>
      <c r="F156" s="9"/>
      <c r="G156" s="7"/>
      <c r="H156" s="9"/>
      <c r="I156" s="7"/>
      <c r="J156" s="9"/>
      <c r="K156" s="7"/>
      <c r="L156" s="9"/>
      <c r="M156" s="7"/>
      <c r="N156" s="9"/>
      <c r="O156" s="7"/>
      <c r="P156" s="9"/>
      <c r="Q156" s="7"/>
      <c r="R156" s="7"/>
      <c r="S156" s="10"/>
      <c r="T156" s="10"/>
    </row>
    <row r="157" spans="1:20" x14ac:dyDescent="0.15">
      <c r="A157" s="26"/>
      <c r="B157" s="11" t="s">
        <v>70</v>
      </c>
      <c r="C157" s="12"/>
      <c r="D157" s="13"/>
      <c r="E157" s="12"/>
      <c r="F157" s="14"/>
      <c r="G157" s="12"/>
      <c r="H157" s="14"/>
      <c r="I157" s="12"/>
      <c r="J157" s="14"/>
      <c r="K157" s="12"/>
      <c r="L157" s="14"/>
      <c r="M157" s="12"/>
      <c r="N157" s="14"/>
      <c r="O157" s="12"/>
      <c r="P157" s="14"/>
      <c r="Q157" s="12"/>
      <c r="R157" s="12"/>
      <c r="S157" s="10"/>
      <c r="T157" s="10"/>
    </row>
    <row r="158" spans="1:20" x14ac:dyDescent="0.15">
      <c r="A158" s="26"/>
      <c r="B158" s="11" t="s">
        <v>71</v>
      </c>
      <c r="C158" s="12"/>
      <c r="D158" s="13"/>
      <c r="E158" s="12"/>
      <c r="F158" s="14"/>
      <c r="G158" s="12"/>
      <c r="H158" s="14"/>
      <c r="I158" s="12"/>
      <c r="J158" s="14"/>
      <c r="K158" s="12"/>
      <c r="L158" s="14"/>
      <c r="M158" s="12"/>
      <c r="N158" s="14"/>
      <c r="O158" s="12"/>
      <c r="P158" s="14"/>
      <c r="Q158" s="12"/>
      <c r="R158" s="12"/>
      <c r="S158" s="10"/>
      <c r="T158" s="10"/>
    </row>
    <row r="159" spans="1:20" x14ac:dyDescent="0.15">
      <c r="A159" s="26"/>
      <c r="B159" s="11" t="s">
        <v>72</v>
      </c>
      <c r="C159" s="12"/>
      <c r="D159" s="13"/>
      <c r="E159" s="12"/>
      <c r="F159" s="14"/>
      <c r="G159" s="12"/>
      <c r="H159" s="14"/>
      <c r="I159" s="12"/>
      <c r="J159" s="14"/>
      <c r="K159" s="12"/>
      <c r="L159" s="14"/>
      <c r="M159" s="12"/>
      <c r="N159" s="14"/>
      <c r="O159" s="12"/>
      <c r="P159" s="14"/>
      <c r="Q159" s="12"/>
      <c r="R159" s="12"/>
      <c r="S159" s="10"/>
      <c r="T159" s="10"/>
    </row>
    <row r="160" spans="1:20" x14ac:dyDescent="0.15">
      <c r="A160" s="26"/>
      <c r="B160" s="11" t="s">
        <v>73</v>
      </c>
      <c r="C160" s="12"/>
      <c r="D160" s="13"/>
      <c r="E160" s="12"/>
      <c r="F160" s="14"/>
      <c r="G160" s="12"/>
      <c r="H160" s="14"/>
      <c r="I160" s="12"/>
      <c r="J160" s="14"/>
      <c r="K160" s="12"/>
      <c r="L160" s="14"/>
      <c r="M160" s="12"/>
      <c r="N160" s="14"/>
      <c r="O160" s="12"/>
      <c r="P160" s="14"/>
      <c r="Q160" s="12"/>
      <c r="R160" s="12"/>
      <c r="S160" s="10"/>
      <c r="T160" s="10"/>
    </row>
    <row r="161" spans="1:20" x14ac:dyDescent="0.15">
      <c r="A161" s="27"/>
      <c r="B161" s="11" t="s">
        <v>74</v>
      </c>
      <c r="C161" s="12"/>
      <c r="D161" s="13"/>
      <c r="E161" s="12"/>
      <c r="F161" s="14"/>
      <c r="G161" s="12"/>
      <c r="H161" s="14"/>
      <c r="I161" s="12"/>
      <c r="J161" s="14"/>
      <c r="K161" s="12"/>
      <c r="L161" s="14"/>
      <c r="M161" s="12"/>
      <c r="N161" s="14"/>
      <c r="O161" s="12"/>
      <c r="P161" s="14"/>
      <c r="Q161" s="12"/>
      <c r="R161" s="12"/>
      <c r="S161" s="10"/>
      <c r="T161" s="10"/>
    </row>
    <row r="162" spans="1:20" x14ac:dyDescent="0.15">
      <c r="A162" s="25" t="s">
        <v>46</v>
      </c>
      <c r="B162" s="6" t="s">
        <v>69</v>
      </c>
      <c r="C162" s="7"/>
      <c r="D162" s="8"/>
      <c r="E162" s="7"/>
      <c r="F162" s="9"/>
      <c r="G162" s="7"/>
      <c r="H162" s="9"/>
      <c r="I162" s="7"/>
      <c r="J162" s="9"/>
      <c r="K162" s="7"/>
      <c r="L162" s="9"/>
      <c r="M162" s="7"/>
      <c r="N162" s="9"/>
      <c r="O162" s="7"/>
      <c r="P162" s="9"/>
      <c r="Q162" s="7"/>
      <c r="R162" s="7"/>
      <c r="S162" s="10"/>
      <c r="T162" s="10"/>
    </row>
    <row r="163" spans="1:20" x14ac:dyDescent="0.15">
      <c r="A163" s="26"/>
      <c r="B163" s="11" t="s">
        <v>70</v>
      </c>
      <c r="C163" s="12"/>
      <c r="D163" s="13"/>
      <c r="E163" s="12"/>
      <c r="F163" s="14"/>
      <c r="G163" s="12"/>
      <c r="H163" s="14"/>
      <c r="I163" s="12"/>
      <c r="J163" s="14"/>
      <c r="K163" s="12"/>
      <c r="L163" s="14"/>
      <c r="M163" s="12"/>
      <c r="N163" s="14"/>
      <c r="O163" s="12"/>
      <c r="P163" s="14"/>
      <c r="Q163" s="12"/>
      <c r="R163" s="12"/>
      <c r="S163" s="10"/>
      <c r="T163" s="10"/>
    </row>
    <row r="164" spans="1:20" x14ac:dyDescent="0.15">
      <c r="A164" s="26"/>
      <c r="B164" s="11" t="s">
        <v>71</v>
      </c>
      <c r="C164" s="12"/>
      <c r="D164" s="13"/>
      <c r="E164" s="12"/>
      <c r="F164" s="14"/>
      <c r="G164" s="12"/>
      <c r="H164" s="14"/>
      <c r="I164" s="12"/>
      <c r="J164" s="14"/>
      <c r="K164" s="12"/>
      <c r="L164" s="14"/>
      <c r="M164" s="12"/>
      <c r="N164" s="14"/>
      <c r="O164" s="12"/>
      <c r="P164" s="14"/>
      <c r="Q164" s="12"/>
      <c r="R164" s="12"/>
      <c r="S164" s="10"/>
      <c r="T164" s="10"/>
    </row>
    <row r="165" spans="1:20" x14ac:dyDescent="0.15">
      <c r="A165" s="26"/>
      <c r="B165" s="11" t="s">
        <v>72</v>
      </c>
      <c r="C165" s="12"/>
      <c r="D165" s="13"/>
      <c r="E165" s="12"/>
      <c r="F165" s="14"/>
      <c r="G165" s="12"/>
      <c r="H165" s="14"/>
      <c r="I165" s="12"/>
      <c r="J165" s="14"/>
      <c r="K165" s="12"/>
      <c r="L165" s="14"/>
      <c r="M165" s="12"/>
      <c r="N165" s="14"/>
      <c r="O165" s="12"/>
      <c r="P165" s="14"/>
      <c r="Q165" s="12"/>
      <c r="R165" s="12"/>
      <c r="S165" s="10"/>
      <c r="T165" s="10"/>
    </row>
    <row r="166" spans="1:20" x14ac:dyDescent="0.15">
      <c r="A166" s="26"/>
      <c r="B166" s="11" t="s">
        <v>73</v>
      </c>
      <c r="C166" s="12"/>
      <c r="D166" s="13"/>
      <c r="E166" s="12"/>
      <c r="F166" s="14"/>
      <c r="G166" s="12"/>
      <c r="H166" s="14"/>
      <c r="I166" s="12"/>
      <c r="J166" s="14"/>
      <c r="K166" s="12"/>
      <c r="L166" s="14"/>
      <c r="M166" s="12"/>
      <c r="N166" s="14"/>
      <c r="O166" s="12"/>
      <c r="P166" s="14"/>
      <c r="Q166" s="12"/>
      <c r="R166" s="12"/>
      <c r="S166" s="10"/>
      <c r="T166" s="10"/>
    </row>
    <row r="167" spans="1:20" x14ac:dyDescent="0.15">
      <c r="A167" s="27"/>
      <c r="B167" s="15" t="s">
        <v>74</v>
      </c>
      <c r="C167" s="16"/>
      <c r="D167" s="17"/>
      <c r="E167" s="16"/>
      <c r="F167" s="18"/>
      <c r="G167" s="16"/>
      <c r="H167" s="18"/>
      <c r="I167" s="16"/>
      <c r="J167" s="18"/>
      <c r="K167" s="16"/>
      <c r="L167" s="18"/>
      <c r="M167" s="16"/>
      <c r="N167" s="18"/>
      <c r="O167" s="16"/>
      <c r="P167" s="18"/>
      <c r="Q167" s="16"/>
      <c r="R167" s="16"/>
      <c r="S167" s="10"/>
      <c r="T167" s="10"/>
    </row>
    <row r="168" spans="1:20" x14ac:dyDescent="0.15">
      <c r="A168" s="25" t="s">
        <v>47</v>
      </c>
      <c r="B168" s="6" t="s">
        <v>69</v>
      </c>
      <c r="C168" s="7"/>
      <c r="D168" s="8"/>
      <c r="E168" s="7"/>
      <c r="F168" s="9"/>
      <c r="G168" s="7"/>
      <c r="H168" s="9"/>
      <c r="I168" s="7"/>
      <c r="J168" s="9"/>
      <c r="K168" s="7"/>
      <c r="L168" s="9"/>
      <c r="M168" s="7"/>
      <c r="N168" s="9"/>
      <c r="O168" s="7"/>
      <c r="P168" s="9"/>
      <c r="Q168" s="7"/>
      <c r="R168" s="7"/>
      <c r="S168" s="10"/>
      <c r="T168" s="10"/>
    </row>
    <row r="169" spans="1:20" x14ac:dyDescent="0.15">
      <c r="A169" s="26"/>
      <c r="B169" s="11" t="s">
        <v>70</v>
      </c>
      <c r="C169" s="12"/>
      <c r="D169" s="13"/>
      <c r="E169" s="12"/>
      <c r="F169" s="14"/>
      <c r="G169" s="12"/>
      <c r="H169" s="14"/>
      <c r="I169" s="12"/>
      <c r="J169" s="14"/>
      <c r="K169" s="12"/>
      <c r="L169" s="14"/>
      <c r="M169" s="12"/>
      <c r="N169" s="14"/>
      <c r="O169" s="12"/>
      <c r="P169" s="14"/>
      <c r="Q169" s="12"/>
      <c r="R169" s="12"/>
      <c r="S169" s="10"/>
      <c r="T169" s="10"/>
    </row>
    <row r="170" spans="1:20" x14ac:dyDescent="0.15">
      <c r="A170" s="26"/>
      <c r="B170" s="11" t="s">
        <v>71</v>
      </c>
      <c r="C170" s="12"/>
      <c r="D170" s="13"/>
      <c r="E170" s="12"/>
      <c r="F170" s="14"/>
      <c r="G170" s="12"/>
      <c r="H170" s="14"/>
      <c r="I170" s="12"/>
      <c r="J170" s="14"/>
      <c r="K170" s="12"/>
      <c r="L170" s="14"/>
      <c r="M170" s="12"/>
      <c r="N170" s="14"/>
      <c r="O170" s="12"/>
      <c r="P170" s="14"/>
      <c r="Q170" s="12"/>
      <c r="R170" s="12"/>
      <c r="S170" s="10"/>
      <c r="T170" s="10"/>
    </row>
    <row r="171" spans="1:20" x14ac:dyDescent="0.15">
      <c r="A171" s="26"/>
      <c r="B171" s="11" t="s">
        <v>72</v>
      </c>
      <c r="C171" s="12"/>
      <c r="D171" s="13"/>
      <c r="E171" s="12"/>
      <c r="F171" s="14"/>
      <c r="G171" s="12"/>
      <c r="H171" s="14"/>
      <c r="I171" s="12"/>
      <c r="J171" s="14"/>
      <c r="K171" s="12"/>
      <c r="L171" s="14"/>
      <c r="M171" s="12"/>
      <c r="N171" s="14"/>
      <c r="O171" s="12"/>
      <c r="P171" s="14"/>
      <c r="Q171" s="12"/>
      <c r="R171" s="12"/>
      <c r="S171" s="10"/>
      <c r="T171" s="10"/>
    </row>
    <row r="172" spans="1:20" x14ac:dyDescent="0.15">
      <c r="A172" s="26"/>
      <c r="B172" s="11" t="s">
        <v>73</v>
      </c>
      <c r="C172" s="12"/>
      <c r="D172" s="13"/>
      <c r="E172" s="12"/>
      <c r="F172" s="14"/>
      <c r="G172" s="12"/>
      <c r="H172" s="14"/>
      <c r="I172" s="12"/>
      <c r="J172" s="14"/>
      <c r="K172" s="12"/>
      <c r="L172" s="14"/>
      <c r="M172" s="12"/>
      <c r="N172" s="14"/>
      <c r="O172" s="12"/>
      <c r="P172" s="14"/>
      <c r="Q172" s="12"/>
      <c r="R172" s="12"/>
      <c r="S172" s="10"/>
      <c r="T172" s="10"/>
    </row>
    <row r="173" spans="1:20" x14ac:dyDescent="0.15">
      <c r="A173" s="27"/>
      <c r="B173" s="11" t="s">
        <v>74</v>
      </c>
      <c r="C173" s="12"/>
      <c r="D173" s="13"/>
      <c r="E173" s="12"/>
      <c r="F173" s="14"/>
      <c r="G173" s="12"/>
      <c r="H173" s="14"/>
      <c r="I173" s="12"/>
      <c r="J173" s="14"/>
      <c r="K173" s="12"/>
      <c r="L173" s="14"/>
      <c r="M173" s="12"/>
      <c r="N173" s="14"/>
      <c r="O173" s="12"/>
      <c r="P173" s="14"/>
      <c r="Q173" s="12"/>
      <c r="R173" s="12"/>
      <c r="S173" s="10"/>
      <c r="T173" s="10"/>
    </row>
    <row r="174" spans="1:20" x14ac:dyDescent="0.15">
      <c r="A174" s="25" t="s">
        <v>48</v>
      </c>
      <c r="B174" s="6" t="s">
        <v>69</v>
      </c>
      <c r="C174" s="7"/>
      <c r="D174" s="8"/>
      <c r="E174" s="7"/>
      <c r="F174" s="9"/>
      <c r="G174" s="7"/>
      <c r="H174" s="9"/>
      <c r="I174" s="7"/>
      <c r="J174" s="9"/>
      <c r="K174" s="7"/>
      <c r="L174" s="9"/>
      <c r="M174" s="7"/>
      <c r="N174" s="9"/>
      <c r="O174" s="7"/>
      <c r="P174" s="9"/>
      <c r="Q174" s="7"/>
      <c r="R174" s="7"/>
      <c r="S174" s="10"/>
      <c r="T174" s="10"/>
    </row>
    <row r="175" spans="1:20" x14ac:dyDescent="0.15">
      <c r="A175" s="26"/>
      <c r="B175" s="11" t="s">
        <v>70</v>
      </c>
      <c r="C175" s="12"/>
      <c r="D175" s="13"/>
      <c r="E175" s="12"/>
      <c r="F175" s="14"/>
      <c r="G175" s="12"/>
      <c r="H175" s="14"/>
      <c r="I175" s="12"/>
      <c r="J175" s="14"/>
      <c r="K175" s="12"/>
      <c r="L175" s="14"/>
      <c r="M175" s="12"/>
      <c r="N175" s="14"/>
      <c r="O175" s="12"/>
      <c r="P175" s="14"/>
      <c r="Q175" s="12"/>
      <c r="R175" s="12"/>
      <c r="S175" s="10"/>
      <c r="T175" s="10"/>
    </row>
    <row r="176" spans="1:20" x14ac:dyDescent="0.15">
      <c r="A176" s="26"/>
      <c r="B176" s="11" t="s">
        <v>71</v>
      </c>
      <c r="C176" s="12"/>
      <c r="D176" s="13"/>
      <c r="E176" s="12"/>
      <c r="F176" s="14"/>
      <c r="G176" s="12"/>
      <c r="H176" s="14"/>
      <c r="I176" s="12"/>
      <c r="J176" s="14"/>
      <c r="K176" s="12"/>
      <c r="L176" s="14"/>
      <c r="M176" s="12"/>
      <c r="N176" s="14"/>
      <c r="O176" s="12"/>
      <c r="P176" s="14"/>
      <c r="Q176" s="12"/>
      <c r="R176" s="12"/>
      <c r="S176" s="10"/>
      <c r="T176" s="10"/>
    </row>
    <row r="177" spans="1:20" x14ac:dyDescent="0.15">
      <c r="A177" s="26"/>
      <c r="B177" s="11" t="s">
        <v>72</v>
      </c>
      <c r="C177" s="12"/>
      <c r="D177" s="13"/>
      <c r="E177" s="12"/>
      <c r="F177" s="14"/>
      <c r="G177" s="12"/>
      <c r="H177" s="14"/>
      <c r="I177" s="12"/>
      <c r="J177" s="14"/>
      <c r="K177" s="12"/>
      <c r="L177" s="14"/>
      <c r="M177" s="12"/>
      <c r="N177" s="14"/>
      <c r="O177" s="12"/>
      <c r="P177" s="14"/>
      <c r="Q177" s="12"/>
      <c r="R177" s="12"/>
      <c r="S177" s="10"/>
      <c r="T177" s="10"/>
    </row>
    <row r="178" spans="1:20" x14ac:dyDescent="0.15">
      <c r="A178" s="26"/>
      <c r="B178" s="11" t="s">
        <v>73</v>
      </c>
      <c r="C178" s="12"/>
      <c r="D178" s="13"/>
      <c r="E178" s="12"/>
      <c r="F178" s="14"/>
      <c r="G178" s="12"/>
      <c r="H178" s="14"/>
      <c r="I178" s="12"/>
      <c r="J178" s="14"/>
      <c r="K178" s="12"/>
      <c r="L178" s="14"/>
      <c r="M178" s="12"/>
      <c r="N178" s="14"/>
      <c r="O178" s="12"/>
      <c r="P178" s="14"/>
      <c r="Q178" s="12"/>
      <c r="R178" s="12"/>
      <c r="S178" s="10"/>
      <c r="T178" s="10"/>
    </row>
    <row r="179" spans="1:20" x14ac:dyDescent="0.15">
      <c r="A179" s="27"/>
      <c r="B179" s="11" t="s">
        <v>74</v>
      </c>
      <c r="C179" s="12"/>
      <c r="D179" s="13"/>
      <c r="E179" s="12"/>
      <c r="F179" s="14"/>
      <c r="G179" s="12"/>
      <c r="H179" s="14"/>
      <c r="I179" s="12"/>
      <c r="J179" s="14"/>
      <c r="K179" s="12"/>
      <c r="L179" s="14"/>
      <c r="M179" s="12"/>
      <c r="N179" s="14"/>
      <c r="O179" s="12"/>
      <c r="P179" s="14"/>
      <c r="Q179" s="12"/>
      <c r="R179" s="12"/>
      <c r="S179" s="10"/>
      <c r="T179" s="10"/>
    </row>
    <row r="180" spans="1:20" x14ac:dyDescent="0.15">
      <c r="A180" s="25" t="s">
        <v>49</v>
      </c>
      <c r="B180" s="6" t="s">
        <v>69</v>
      </c>
      <c r="C180" s="7"/>
      <c r="D180" s="8"/>
      <c r="E180" s="7"/>
      <c r="F180" s="9"/>
      <c r="G180" s="7"/>
      <c r="H180" s="9"/>
      <c r="I180" s="7"/>
      <c r="J180" s="9"/>
      <c r="K180" s="7"/>
      <c r="L180" s="9"/>
      <c r="M180" s="7"/>
      <c r="N180" s="9"/>
      <c r="O180" s="7"/>
      <c r="P180" s="9"/>
      <c r="Q180" s="7"/>
      <c r="R180" s="7"/>
      <c r="S180" s="10"/>
      <c r="T180" s="10"/>
    </row>
    <row r="181" spans="1:20" x14ac:dyDescent="0.15">
      <c r="A181" s="26"/>
      <c r="B181" s="11" t="s">
        <v>70</v>
      </c>
      <c r="C181" s="12"/>
      <c r="D181" s="13"/>
      <c r="E181" s="12"/>
      <c r="F181" s="14"/>
      <c r="G181" s="12"/>
      <c r="H181" s="14"/>
      <c r="I181" s="12"/>
      <c r="J181" s="14"/>
      <c r="K181" s="12"/>
      <c r="L181" s="14"/>
      <c r="M181" s="12"/>
      <c r="N181" s="14"/>
      <c r="O181" s="12"/>
      <c r="P181" s="14"/>
      <c r="Q181" s="12"/>
      <c r="R181" s="12"/>
      <c r="S181" s="10"/>
      <c r="T181" s="10"/>
    </row>
    <row r="182" spans="1:20" x14ac:dyDescent="0.15">
      <c r="A182" s="26"/>
      <c r="B182" s="11" t="s">
        <v>71</v>
      </c>
      <c r="C182" s="12"/>
      <c r="D182" s="13"/>
      <c r="E182" s="12"/>
      <c r="F182" s="14"/>
      <c r="G182" s="12"/>
      <c r="H182" s="14"/>
      <c r="I182" s="12"/>
      <c r="J182" s="14"/>
      <c r="K182" s="12"/>
      <c r="L182" s="14"/>
      <c r="M182" s="12"/>
      <c r="N182" s="14"/>
      <c r="O182" s="12"/>
      <c r="P182" s="14"/>
      <c r="Q182" s="12"/>
      <c r="R182" s="12"/>
      <c r="S182" s="10"/>
      <c r="T182" s="10"/>
    </row>
    <row r="183" spans="1:20" x14ac:dyDescent="0.15">
      <c r="A183" s="26"/>
      <c r="B183" s="11" t="s">
        <v>72</v>
      </c>
      <c r="C183" s="12"/>
      <c r="D183" s="13"/>
      <c r="E183" s="12"/>
      <c r="F183" s="14"/>
      <c r="G183" s="12"/>
      <c r="H183" s="14"/>
      <c r="I183" s="12"/>
      <c r="J183" s="14"/>
      <c r="K183" s="12"/>
      <c r="L183" s="14"/>
      <c r="M183" s="12"/>
      <c r="N183" s="14"/>
      <c r="O183" s="12"/>
      <c r="P183" s="14"/>
      <c r="Q183" s="12"/>
      <c r="R183" s="12"/>
      <c r="S183" s="10"/>
      <c r="T183" s="10"/>
    </row>
    <row r="184" spans="1:20" x14ac:dyDescent="0.15">
      <c r="A184" s="26"/>
      <c r="B184" s="11" t="s">
        <v>73</v>
      </c>
      <c r="C184" s="12"/>
      <c r="D184" s="13"/>
      <c r="E184" s="12"/>
      <c r="F184" s="14"/>
      <c r="G184" s="12"/>
      <c r="H184" s="14"/>
      <c r="I184" s="12"/>
      <c r="J184" s="14"/>
      <c r="K184" s="12"/>
      <c r="L184" s="14"/>
      <c r="M184" s="12"/>
      <c r="N184" s="14"/>
      <c r="O184" s="12"/>
      <c r="P184" s="14"/>
      <c r="Q184" s="12"/>
      <c r="R184" s="12"/>
      <c r="S184" s="10"/>
      <c r="T184" s="10"/>
    </row>
    <row r="185" spans="1:20" x14ac:dyDescent="0.15">
      <c r="A185" s="27"/>
      <c r="B185" s="15" t="s">
        <v>74</v>
      </c>
      <c r="C185" s="16"/>
      <c r="D185" s="17"/>
      <c r="E185" s="16"/>
      <c r="F185" s="18"/>
      <c r="G185" s="16"/>
      <c r="H185" s="18"/>
      <c r="I185" s="16"/>
      <c r="J185" s="18"/>
      <c r="K185" s="16"/>
      <c r="L185" s="18"/>
      <c r="M185" s="16"/>
      <c r="N185" s="18"/>
      <c r="O185" s="16"/>
      <c r="P185" s="18"/>
      <c r="Q185" s="16"/>
      <c r="R185" s="16"/>
      <c r="S185" s="10"/>
      <c r="T185" s="10"/>
    </row>
    <row r="186" spans="1:20" x14ac:dyDescent="0.15">
      <c r="A186" s="25" t="s">
        <v>50</v>
      </c>
      <c r="B186" s="6" t="s">
        <v>69</v>
      </c>
      <c r="C186" s="7"/>
      <c r="D186" s="8"/>
      <c r="E186" s="7"/>
      <c r="F186" s="9"/>
      <c r="G186" s="7"/>
      <c r="H186" s="9"/>
      <c r="I186" s="7"/>
      <c r="J186" s="9"/>
      <c r="K186" s="7"/>
      <c r="L186" s="9"/>
      <c r="M186" s="7"/>
      <c r="N186" s="9"/>
      <c r="O186" s="7"/>
      <c r="P186" s="9"/>
      <c r="Q186" s="7"/>
      <c r="R186" s="7"/>
      <c r="S186" s="10"/>
      <c r="T186" s="10"/>
    </row>
    <row r="187" spans="1:20" x14ac:dyDescent="0.15">
      <c r="A187" s="26"/>
      <c r="B187" s="11" t="s">
        <v>70</v>
      </c>
      <c r="C187" s="12"/>
      <c r="D187" s="13"/>
      <c r="E187" s="12"/>
      <c r="F187" s="14"/>
      <c r="G187" s="12"/>
      <c r="H187" s="14"/>
      <c r="I187" s="12"/>
      <c r="J187" s="14"/>
      <c r="K187" s="12"/>
      <c r="L187" s="14"/>
      <c r="M187" s="12"/>
      <c r="N187" s="14"/>
      <c r="O187" s="12"/>
      <c r="P187" s="14"/>
      <c r="Q187" s="12"/>
      <c r="R187" s="12"/>
      <c r="S187" s="10"/>
      <c r="T187" s="10"/>
    </row>
    <row r="188" spans="1:20" x14ac:dyDescent="0.15">
      <c r="A188" s="26"/>
      <c r="B188" s="11" t="s">
        <v>71</v>
      </c>
      <c r="C188" s="12"/>
      <c r="D188" s="13"/>
      <c r="E188" s="12"/>
      <c r="F188" s="14"/>
      <c r="G188" s="12"/>
      <c r="H188" s="14"/>
      <c r="I188" s="12"/>
      <c r="J188" s="14"/>
      <c r="K188" s="12"/>
      <c r="L188" s="14"/>
      <c r="M188" s="12"/>
      <c r="N188" s="14"/>
      <c r="O188" s="12"/>
      <c r="P188" s="14"/>
      <c r="Q188" s="12"/>
      <c r="R188" s="12"/>
      <c r="S188" s="10"/>
      <c r="T188" s="10"/>
    </row>
    <row r="189" spans="1:20" x14ac:dyDescent="0.15">
      <c r="A189" s="26"/>
      <c r="B189" s="11" t="s">
        <v>72</v>
      </c>
      <c r="C189" s="12"/>
      <c r="D189" s="13"/>
      <c r="E189" s="12"/>
      <c r="F189" s="14"/>
      <c r="G189" s="12"/>
      <c r="H189" s="14"/>
      <c r="I189" s="12"/>
      <c r="J189" s="14"/>
      <c r="K189" s="12"/>
      <c r="L189" s="14"/>
      <c r="M189" s="12"/>
      <c r="N189" s="14"/>
      <c r="O189" s="12"/>
      <c r="P189" s="14"/>
      <c r="Q189" s="12"/>
      <c r="R189" s="12"/>
      <c r="S189" s="10"/>
      <c r="T189" s="10"/>
    </row>
    <row r="190" spans="1:20" x14ac:dyDescent="0.15">
      <c r="A190" s="26"/>
      <c r="B190" s="11" t="s">
        <v>73</v>
      </c>
      <c r="C190" s="12"/>
      <c r="D190" s="13"/>
      <c r="E190" s="12"/>
      <c r="F190" s="14"/>
      <c r="G190" s="12"/>
      <c r="H190" s="14"/>
      <c r="I190" s="12"/>
      <c r="J190" s="14"/>
      <c r="K190" s="12"/>
      <c r="L190" s="14"/>
      <c r="M190" s="12"/>
      <c r="N190" s="14"/>
      <c r="O190" s="12"/>
      <c r="P190" s="14"/>
      <c r="Q190" s="12"/>
      <c r="R190" s="12"/>
      <c r="S190" s="10"/>
      <c r="T190" s="10"/>
    </row>
    <row r="191" spans="1:20" x14ac:dyDescent="0.15">
      <c r="A191" s="27"/>
      <c r="B191" s="11" t="s">
        <v>74</v>
      </c>
      <c r="C191" s="12"/>
      <c r="D191" s="13"/>
      <c r="E191" s="12"/>
      <c r="F191" s="14"/>
      <c r="G191" s="12"/>
      <c r="H191" s="14"/>
      <c r="I191" s="12"/>
      <c r="J191" s="14"/>
      <c r="K191" s="12"/>
      <c r="L191" s="14"/>
      <c r="M191" s="12"/>
      <c r="N191" s="14"/>
      <c r="O191" s="12"/>
      <c r="P191" s="14"/>
      <c r="Q191" s="12"/>
      <c r="R191" s="12"/>
      <c r="S191" s="10"/>
      <c r="T191" s="10"/>
    </row>
    <row r="192" spans="1:20" x14ac:dyDescent="0.15">
      <c r="A192" s="25" t="s">
        <v>51</v>
      </c>
      <c r="B192" s="6" t="s">
        <v>69</v>
      </c>
      <c r="C192" s="7"/>
      <c r="D192" s="8"/>
      <c r="E192" s="7"/>
      <c r="F192" s="9"/>
      <c r="G192" s="7"/>
      <c r="H192" s="9"/>
      <c r="I192" s="7"/>
      <c r="J192" s="9"/>
      <c r="K192" s="7"/>
      <c r="L192" s="9"/>
      <c r="M192" s="7"/>
      <c r="N192" s="9"/>
      <c r="O192" s="7"/>
      <c r="P192" s="9"/>
      <c r="Q192" s="7"/>
      <c r="R192" s="7"/>
      <c r="S192" s="10"/>
      <c r="T192" s="10"/>
    </row>
    <row r="193" spans="1:20" x14ac:dyDescent="0.15">
      <c r="A193" s="26"/>
      <c r="B193" s="11" t="s">
        <v>70</v>
      </c>
      <c r="C193" s="12"/>
      <c r="D193" s="13"/>
      <c r="E193" s="12"/>
      <c r="F193" s="14"/>
      <c r="G193" s="12"/>
      <c r="H193" s="14"/>
      <c r="I193" s="12"/>
      <c r="J193" s="14"/>
      <c r="K193" s="12"/>
      <c r="L193" s="14"/>
      <c r="M193" s="12"/>
      <c r="N193" s="14"/>
      <c r="O193" s="12"/>
      <c r="P193" s="14"/>
      <c r="Q193" s="12"/>
      <c r="R193" s="12"/>
      <c r="S193" s="10"/>
      <c r="T193" s="10"/>
    </row>
    <row r="194" spans="1:20" x14ac:dyDescent="0.15">
      <c r="A194" s="26"/>
      <c r="B194" s="11" t="s">
        <v>71</v>
      </c>
      <c r="C194" s="12"/>
      <c r="D194" s="13"/>
      <c r="E194" s="12"/>
      <c r="F194" s="14"/>
      <c r="G194" s="12"/>
      <c r="H194" s="14"/>
      <c r="I194" s="12"/>
      <c r="J194" s="14"/>
      <c r="K194" s="12"/>
      <c r="L194" s="14"/>
      <c r="M194" s="12"/>
      <c r="N194" s="14"/>
      <c r="O194" s="12"/>
      <c r="P194" s="14"/>
      <c r="Q194" s="12"/>
      <c r="R194" s="12"/>
      <c r="S194" s="10"/>
      <c r="T194" s="10"/>
    </row>
    <row r="195" spans="1:20" x14ac:dyDescent="0.15">
      <c r="A195" s="26"/>
      <c r="B195" s="11" t="s">
        <v>72</v>
      </c>
      <c r="C195" s="12"/>
      <c r="D195" s="13"/>
      <c r="E195" s="12"/>
      <c r="F195" s="14"/>
      <c r="G195" s="12"/>
      <c r="H195" s="14"/>
      <c r="I195" s="12"/>
      <c r="J195" s="14"/>
      <c r="K195" s="12"/>
      <c r="L195" s="14"/>
      <c r="M195" s="12"/>
      <c r="N195" s="14"/>
      <c r="O195" s="12"/>
      <c r="P195" s="14"/>
      <c r="Q195" s="12"/>
      <c r="R195" s="12"/>
      <c r="S195" s="10"/>
      <c r="T195" s="10"/>
    </row>
    <row r="196" spans="1:20" x14ac:dyDescent="0.15">
      <c r="A196" s="26"/>
      <c r="B196" s="11" t="s">
        <v>73</v>
      </c>
      <c r="C196" s="12"/>
      <c r="D196" s="13"/>
      <c r="E196" s="12"/>
      <c r="F196" s="14"/>
      <c r="G196" s="12"/>
      <c r="H196" s="14"/>
      <c r="I196" s="12"/>
      <c r="J196" s="14"/>
      <c r="K196" s="12"/>
      <c r="L196" s="14"/>
      <c r="M196" s="12"/>
      <c r="N196" s="14"/>
      <c r="O196" s="12"/>
      <c r="P196" s="14"/>
      <c r="Q196" s="12"/>
      <c r="R196" s="12"/>
      <c r="S196" s="10"/>
      <c r="T196" s="10"/>
    </row>
    <row r="197" spans="1:20" x14ac:dyDescent="0.15">
      <c r="A197" s="27"/>
      <c r="B197" s="11" t="s">
        <v>74</v>
      </c>
      <c r="C197" s="12"/>
      <c r="D197" s="13"/>
      <c r="E197" s="12"/>
      <c r="F197" s="14"/>
      <c r="G197" s="12"/>
      <c r="H197" s="14"/>
      <c r="I197" s="12"/>
      <c r="J197" s="14"/>
      <c r="K197" s="12"/>
      <c r="L197" s="14"/>
      <c r="M197" s="12"/>
      <c r="N197" s="14"/>
      <c r="O197" s="12"/>
      <c r="P197" s="14"/>
      <c r="Q197" s="12"/>
      <c r="R197" s="12"/>
      <c r="S197" s="10"/>
      <c r="T197" s="10"/>
    </row>
    <row r="198" spans="1:20" x14ac:dyDescent="0.15">
      <c r="A198" s="25" t="s">
        <v>52</v>
      </c>
      <c r="B198" s="6" t="s">
        <v>69</v>
      </c>
      <c r="C198" s="7"/>
      <c r="D198" s="8"/>
      <c r="E198" s="7"/>
      <c r="F198" s="9"/>
      <c r="G198" s="7"/>
      <c r="H198" s="9"/>
      <c r="I198" s="7"/>
      <c r="J198" s="9"/>
      <c r="K198" s="7"/>
      <c r="L198" s="9"/>
      <c r="M198" s="7"/>
      <c r="N198" s="9"/>
      <c r="O198" s="7"/>
      <c r="P198" s="9"/>
      <c r="Q198" s="7"/>
      <c r="R198" s="7"/>
      <c r="S198" s="10"/>
      <c r="T198" s="10"/>
    </row>
    <row r="199" spans="1:20" x14ac:dyDescent="0.15">
      <c r="A199" s="26"/>
      <c r="B199" s="11" t="s">
        <v>70</v>
      </c>
      <c r="C199" s="12"/>
      <c r="D199" s="13"/>
      <c r="E199" s="12"/>
      <c r="F199" s="14"/>
      <c r="G199" s="12"/>
      <c r="H199" s="14"/>
      <c r="I199" s="12"/>
      <c r="J199" s="14"/>
      <c r="K199" s="12"/>
      <c r="L199" s="14"/>
      <c r="M199" s="12"/>
      <c r="N199" s="14"/>
      <c r="O199" s="12"/>
      <c r="P199" s="14"/>
      <c r="Q199" s="12"/>
      <c r="R199" s="12"/>
      <c r="S199" s="10"/>
      <c r="T199" s="10"/>
    </row>
    <row r="200" spans="1:20" x14ac:dyDescent="0.15">
      <c r="A200" s="26"/>
      <c r="B200" s="11" t="s">
        <v>71</v>
      </c>
      <c r="C200" s="12"/>
      <c r="D200" s="13"/>
      <c r="E200" s="12"/>
      <c r="F200" s="14"/>
      <c r="G200" s="12"/>
      <c r="H200" s="14"/>
      <c r="I200" s="12"/>
      <c r="J200" s="14"/>
      <c r="K200" s="12"/>
      <c r="L200" s="14"/>
      <c r="M200" s="12"/>
      <c r="N200" s="14"/>
      <c r="O200" s="12"/>
      <c r="P200" s="14"/>
      <c r="Q200" s="12"/>
      <c r="R200" s="12"/>
      <c r="S200" s="10"/>
      <c r="T200" s="10"/>
    </row>
    <row r="201" spans="1:20" x14ac:dyDescent="0.15">
      <c r="A201" s="26"/>
      <c r="B201" s="11" t="s">
        <v>72</v>
      </c>
      <c r="C201" s="12"/>
      <c r="D201" s="13"/>
      <c r="E201" s="12"/>
      <c r="F201" s="14"/>
      <c r="G201" s="12"/>
      <c r="H201" s="14"/>
      <c r="I201" s="12"/>
      <c r="J201" s="14"/>
      <c r="K201" s="12"/>
      <c r="L201" s="14"/>
      <c r="M201" s="12"/>
      <c r="N201" s="14"/>
      <c r="O201" s="12"/>
      <c r="P201" s="14"/>
      <c r="Q201" s="12"/>
      <c r="R201" s="12"/>
      <c r="S201" s="10"/>
      <c r="T201" s="10"/>
    </row>
    <row r="202" spans="1:20" x14ac:dyDescent="0.15">
      <c r="A202" s="26"/>
      <c r="B202" s="11" t="s">
        <v>73</v>
      </c>
      <c r="C202" s="12"/>
      <c r="D202" s="13"/>
      <c r="E202" s="12"/>
      <c r="F202" s="14"/>
      <c r="G202" s="12"/>
      <c r="H202" s="14"/>
      <c r="I202" s="12"/>
      <c r="J202" s="14"/>
      <c r="K202" s="12"/>
      <c r="L202" s="14"/>
      <c r="M202" s="12"/>
      <c r="N202" s="14"/>
      <c r="O202" s="12"/>
      <c r="P202" s="14"/>
      <c r="Q202" s="12"/>
      <c r="R202" s="12"/>
      <c r="S202" s="10"/>
      <c r="T202" s="10"/>
    </row>
    <row r="203" spans="1:20" x14ac:dyDescent="0.15">
      <c r="A203" s="27"/>
      <c r="B203" s="11" t="s">
        <v>74</v>
      </c>
      <c r="C203" s="12"/>
      <c r="D203" s="13"/>
      <c r="E203" s="12"/>
      <c r="F203" s="14"/>
      <c r="G203" s="12"/>
      <c r="H203" s="14"/>
      <c r="I203" s="12"/>
      <c r="J203" s="14"/>
      <c r="K203" s="12"/>
      <c r="L203" s="14"/>
      <c r="M203" s="12"/>
      <c r="N203" s="14"/>
      <c r="O203" s="12"/>
      <c r="P203" s="14"/>
      <c r="Q203" s="12"/>
      <c r="R203" s="12"/>
      <c r="S203" s="10"/>
      <c r="T203" s="10"/>
    </row>
    <row r="204" spans="1:20" x14ac:dyDescent="0.15">
      <c r="A204" s="25" t="s">
        <v>53</v>
      </c>
      <c r="B204" s="6" t="s">
        <v>69</v>
      </c>
      <c r="C204" s="7"/>
      <c r="D204" s="8"/>
      <c r="E204" s="7"/>
      <c r="F204" s="9"/>
      <c r="G204" s="7"/>
      <c r="H204" s="9"/>
      <c r="I204" s="7"/>
      <c r="J204" s="9"/>
      <c r="K204" s="7"/>
      <c r="L204" s="9"/>
      <c r="M204" s="7"/>
      <c r="N204" s="9"/>
      <c r="O204" s="7"/>
      <c r="P204" s="9"/>
      <c r="Q204" s="7"/>
      <c r="R204" s="7"/>
      <c r="S204" s="10"/>
      <c r="T204" s="10"/>
    </row>
    <row r="205" spans="1:20" x14ac:dyDescent="0.15">
      <c r="A205" s="26"/>
      <c r="B205" s="11" t="s">
        <v>70</v>
      </c>
      <c r="C205" s="12"/>
      <c r="D205" s="13"/>
      <c r="E205" s="12"/>
      <c r="F205" s="14"/>
      <c r="G205" s="12"/>
      <c r="H205" s="14"/>
      <c r="I205" s="12"/>
      <c r="J205" s="14"/>
      <c r="K205" s="12"/>
      <c r="L205" s="14"/>
      <c r="M205" s="12"/>
      <c r="N205" s="14"/>
      <c r="O205" s="12"/>
      <c r="P205" s="14"/>
      <c r="Q205" s="12"/>
      <c r="R205" s="12"/>
      <c r="S205" s="10"/>
      <c r="T205" s="10"/>
    </row>
    <row r="206" spans="1:20" x14ac:dyDescent="0.15">
      <c r="A206" s="26"/>
      <c r="B206" s="11" t="s">
        <v>71</v>
      </c>
      <c r="C206" s="12"/>
      <c r="D206" s="13"/>
      <c r="E206" s="12"/>
      <c r="F206" s="14"/>
      <c r="G206" s="12"/>
      <c r="H206" s="14"/>
      <c r="I206" s="12"/>
      <c r="J206" s="14"/>
      <c r="K206" s="12"/>
      <c r="L206" s="14"/>
      <c r="M206" s="12"/>
      <c r="N206" s="14"/>
      <c r="O206" s="12"/>
      <c r="P206" s="14"/>
      <c r="Q206" s="12"/>
      <c r="R206" s="12"/>
      <c r="S206" s="10"/>
      <c r="T206" s="10"/>
    </row>
    <row r="207" spans="1:20" x14ac:dyDescent="0.15">
      <c r="A207" s="26"/>
      <c r="B207" s="11" t="s">
        <v>72</v>
      </c>
      <c r="C207" s="12"/>
      <c r="D207" s="13"/>
      <c r="E207" s="12"/>
      <c r="F207" s="14"/>
      <c r="G207" s="12"/>
      <c r="H207" s="14"/>
      <c r="I207" s="12"/>
      <c r="J207" s="14"/>
      <c r="K207" s="12"/>
      <c r="L207" s="14"/>
      <c r="M207" s="12"/>
      <c r="N207" s="14"/>
      <c r="O207" s="12"/>
      <c r="P207" s="14"/>
      <c r="Q207" s="12"/>
      <c r="R207" s="12"/>
      <c r="S207" s="10"/>
      <c r="T207" s="10"/>
    </row>
    <row r="208" spans="1:20" x14ac:dyDescent="0.15">
      <c r="A208" s="26"/>
      <c r="B208" s="11" t="s">
        <v>73</v>
      </c>
      <c r="C208" s="12"/>
      <c r="D208" s="13"/>
      <c r="E208" s="12"/>
      <c r="F208" s="14"/>
      <c r="G208" s="12"/>
      <c r="H208" s="14"/>
      <c r="I208" s="12"/>
      <c r="J208" s="14"/>
      <c r="K208" s="12"/>
      <c r="L208" s="14"/>
      <c r="M208" s="12"/>
      <c r="N208" s="14"/>
      <c r="O208" s="12"/>
      <c r="P208" s="14"/>
      <c r="Q208" s="12"/>
      <c r="R208" s="12"/>
      <c r="S208" s="10"/>
      <c r="T208" s="10"/>
    </row>
    <row r="209" spans="1:20" x14ac:dyDescent="0.15">
      <c r="A209" s="27"/>
      <c r="B209" s="15" t="s">
        <v>74</v>
      </c>
      <c r="C209" s="16"/>
      <c r="D209" s="17"/>
      <c r="E209" s="16"/>
      <c r="F209" s="18"/>
      <c r="G209" s="16"/>
      <c r="H209" s="18"/>
      <c r="I209" s="16"/>
      <c r="J209" s="18"/>
      <c r="K209" s="16"/>
      <c r="L209" s="18"/>
      <c r="M209" s="16"/>
      <c r="N209" s="18"/>
      <c r="O209" s="16"/>
      <c r="P209" s="18"/>
      <c r="Q209" s="16"/>
      <c r="R209" s="16"/>
      <c r="S209" s="10"/>
      <c r="T209" s="10"/>
    </row>
    <row r="210" spans="1:20" x14ac:dyDescent="0.15">
      <c r="A210" s="25" t="s">
        <v>54</v>
      </c>
      <c r="B210" s="6" t="s">
        <v>69</v>
      </c>
      <c r="C210" s="7"/>
      <c r="D210" s="8"/>
      <c r="E210" s="7"/>
      <c r="F210" s="9"/>
      <c r="G210" s="7"/>
      <c r="H210" s="9"/>
      <c r="I210" s="7"/>
      <c r="J210" s="9"/>
      <c r="K210" s="7"/>
      <c r="L210" s="9"/>
      <c r="M210" s="7"/>
      <c r="N210" s="9"/>
      <c r="O210" s="7"/>
      <c r="P210" s="9"/>
      <c r="Q210" s="7"/>
      <c r="R210" s="7"/>
      <c r="S210" s="10"/>
      <c r="T210" s="10"/>
    </row>
    <row r="211" spans="1:20" x14ac:dyDescent="0.15">
      <c r="A211" s="26"/>
      <c r="B211" s="11" t="s">
        <v>70</v>
      </c>
      <c r="C211" s="12"/>
      <c r="D211" s="13"/>
      <c r="E211" s="12"/>
      <c r="F211" s="14"/>
      <c r="G211" s="12"/>
      <c r="H211" s="14"/>
      <c r="I211" s="12"/>
      <c r="J211" s="14"/>
      <c r="K211" s="12"/>
      <c r="L211" s="14"/>
      <c r="M211" s="12"/>
      <c r="N211" s="14"/>
      <c r="O211" s="12"/>
      <c r="P211" s="14"/>
      <c r="Q211" s="12"/>
      <c r="R211" s="12"/>
      <c r="S211" s="10"/>
      <c r="T211" s="10"/>
    </row>
    <row r="212" spans="1:20" x14ac:dyDescent="0.15">
      <c r="A212" s="26"/>
      <c r="B212" s="11" t="s">
        <v>71</v>
      </c>
      <c r="C212" s="12"/>
      <c r="D212" s="13"/>
      <c r="E212" s="12"/>
      <c r="F212" s="14"/>
      <c r="G212" s="12"/>
      <c r="H212" s="14"/>
      <c r="I212" s="12"/>
      <c r="J212" s="14"/>
      <c r="K212" s="12"/>
      <c r="L212" s="14"/>
      <c r="M212" s="12"/>
      <c r="N212" s="14"/>
      <c r="O212" s="12"/>
      <c r="P212" s="14"/>
      <c r="Q212" s="12"/>
      <c r="R212" s="12"/>
      <c r="S212" s="10"/>
      <c r="T212" s="10"/>
    </row>
    <row r="213" spans="1:20" x14ac:dyDescent="0.15">
      <c r="A213" s="26"/>
      <c r="B213" s="11" t="s">
        <v>72</v>
      </c>
      <c r="C213" s="12"/>
      <c r="D213" s="13"/>
      <c r="E213" s="12"/>
      <c r="F213" s="14"/>
      <c r="G213" s="12"/>
      <c r="H213" s="14"/>
      <c r="I213" s="12"/>
      <c r="J213" s="14"/>
      <c r="K213" s="12"/>
      <c r="L213" s="14"/>
      <c r="M213" s="12"/>
      <c r="N213" s="14"/>
      <c r="O213" s="12"/>
      <c r="P213" s="14"/>
      <c r="Q213" s="12"/>
      <c r="R213" s="12"/>
      <c r="S213" s="10"/>
      <c r="T213" s="10"/>
    </row>
    <row r="214" spans="1:20" x14ac:dyDescent="0.15">
      <c r="A214" s="26"/>
      <c r="B214" s="11" t="s">
        <v>73</v>
      </c>
      <c r="C214" s="12"/>
      <c r="D214" s="13"/>
      <c r="E214" s="12"/>
      <c r="F214" s="14"/>
      <c r="G214" s="12"/>
      <c r="H214" s="14"/>
      <c r="I214" s="12"/>
      <c r="J214" s="14"/>
      <c r="K214" s="12"/>
      <c r="L214" s="14"/>
      <c r="M214" s="12"/>
      <c r="N214" s="14"/>
      <c r="O214" s="12"/>
      <c r="P214" s="14"/>
      <c r="Q214" s="12"/>
      <c r="R214" s="12"/>
      <c r="S214" s="10"/>
      <c r="T214" s="10"/>
    </row>
    <row r="215" spans="1:20" x14ac:dyDescent="0.15">
      <c r="A215" s="27"/>
      <c r="B215" s="11" t="s">
        <v>74</v>
      </c>
      <c r="C215" s="12"/>
      <c r="D215" s="13"/>
      <c r="E215" s="12"/>
      <c r="F215" s="14"/>
      <c r="G215" s="12"/>
      <c r="H215" s="14"/>
      <c r="I215" s="12"/>
      <c r="J215" s="14"/>
      <c r="K215" s="12"/>
      <c r="L215" s="14"/>
      <c r="M215" s="12"/>
      <c r="N215" s="14"/>
      <c r="O215" s="12"/>
      <c r="P215" s="14"/>
      <c r="Q215" s="12"/>
      <c r="R215" s="12"/>
      <c r="S215" s="10"/>
      <c r="T215" s="10"/>
    </row>
    <row r="216" spans="1:20" x14ac:dyDescent="0.15">
      <c r="A216" s="25" t="s">
        <v>55</v>
      </c>
      <c r="B216" s="6" t="s">
        <v>69</v>
      </c>
      <c r="C216" s="7"/>
      <c r="D216" s="8"/>
      <c r="E216" s="7"/>
      <c r="F216" s="9"/>
      <c r="G216" s="7"/>
      <c r="H216" s="9"/>
      <c r="I216" s="7"/>
      <c r="J216" s="9"/>
      <c r="K216" s="7"/>
      <c r="L216" s="9"/>
      <c r="M216" s="7"/>
      <c r="N216" s="9"/>
      <c r="O216" s="7"/>
      <c r="P216" s="9"/>
      <c r="Q216" s="7"/>
      <c r="R216" s="7"/>
      <c r="S216" s="10"/>
      <c r="T216" s="10"/>
    </row>
    <row r="217" spans="1:20" x14ac:dyDescent="0.15">
      <c r="A217" s="26"/>
      <c r="B217" s="11" t="s">
        <v>70</v>
      </c>
      <c r="C217" s="12"/>
      <c r="D217" s="13"/>
      <c r="E217" s="12"/>
      <c r="F217" s="14"/>
      <c r="G217" s="12"/>
      <c r="H217" s="14"/>
      <c r="I217" s="12"/>
      <c r="J217" s="14"/>
      <c r="K217" s="12"/>
      <c r="L217" s="14"/>
      <c r="M217" s="12"/>
      <c r="N217" s="14"/>
      <c r="O217" s="12"/>
      <c r="P217" s="14"/>
      <c r="Q217" s="12"/>
      <c r="R217" s="12"/>
      <c r="S217" s="10"/>
      <c r="T217" s="10"/>
    </row>
    <row r="218" spans="1:20" x14ac:dyDescent="0.15">
      <c r="A218" s="26"/>
      <c r="B218" s="11" t="s">
        <v>71</v>
      </c>
      <c r="C218" s="12"/>
      <c r="D218" s="13"/>
      <c r="E218" s="12"/>
      <c r="F218" s="14"/>
      <c r="G218" s="12"/>
      <c r="H218" s="14"/>
      <c r="I218" s="12"/>
      <c r="J218" s="14"/>
      <c r="K218" s="12"/>
      <c r="L218" s="14"/>
      <c r="M218" s="12"/>
      <c r="N218" s="14"/>
      <c r="O218" s="12"/>
      <c r="P218" s="14"/>
      <c r="Q218" s="12"/>
      <c r="R218" s="12"/>
      <c r="S218" s="10"/>
      <c r="T218" s="10"/>
    </row>
    <row r="219" spans="1:20" x14ac:dyDescent="0.15">
      <c r="A219" s="26"/>
      <c r="B219" s="11" t="s">
        <v>72</v>
      </c>
      <c r="C219" s="12"/>
      <c r="D219" s="13"/>
      <c r="E219" s="12"/>
      <c r="F219" s="14"/>
      <c r="G219" s="12"/>
      <c r="H219" s="14"/>
      <c r="I219" s="12"/>
      <c r="J219" s="14"/>
      <c r="K219" s="12"/>
      <c r="L219" s="14"/>
      <c r="M219" s="12"/>
      <c r="N219" s="14"/>
      <c r="O219" s="12"/>
      <c r="P219" s="14"/>
      <c r="Q219" s="12"/>
      <c r="R219" s="12"/>
      <c r="S219" s="10"/>
      <c r="T219" s="10"/>
    </row>
    <row r="220" spans="1:20" x14ac:dyDescent="0.15">
      <c r="A220" s="26"/>
      <c r="B220" s="11" t="s">
        <v>73</v>
      </c>
      <c r="C220" s="12"/>
      <c r="D220" s="13"/>
      <c r="E220" s="12"/>
      <c r="F220" s="14"/>
      <c r="G220" s="12"/>
      <c r="H220" s="14"/>
      <c r="I220" s="12"/>
      <c r="J220" s="14"/>
      <c r="K220" s="12"/>
      <c r="L220" s="14"/>
      <c r="M220" s="12"/>
      <c r="N220" s="14"/>
      <c r="O220" s="12"/>
      <c r="P220" s="14"/>
      <c r="Q220" s="12"/>
      <c r="R220" s="12"/>
      <c r="S220" s="10"/>
      <c r="T220" s="10"/>
    </row>
    <row r="221" spans="1:20" x14ac:dyDescent="0.15">
      <c r="A221" s="27"/>
      <c r="B221" s="11" t="s">
        <v>74</v>
      </c>
      <c r="C221" s="12"/>
      <c r="D221" s="13"/>
      <c r="E221" s="12"/>
      <c r="F221" s="14"/>
      <c r="G221" s="12"/>
      <c r="H221" s="14"/>
      <c r="I221" s="12"/>
      <c r="J221" s="14"/>
      <c r="K221" s="12"/>
      <c r="L221" s="14"/>
      <c r="M221" s="12"/>
      <c r="N221" s="14"/>
      <c r="O221" s="12"/>
      <c r="P221" s="14"/>
      <c r="Q221" s="12"/>
      <c r="R221" s="12"/>
      <c r="S221" s="10"/>
      <c r="T221" s="10"/>
    </row>
    <row r="222" spans="1:20" x14ac:dyDescent="0.15">
      <c r="A222" s="25" t="s">
        <v>56</v>
      </c>
      <c r="B222" s="6" t="s">
        <v>69</v>
      </c>
      <c r="C222" s="7"/>
      <c r="D222" s="8"/>
      <c r="E222" s="7"/>
      <c r="F222" s="9"/>
      <c r="G222" s="7"/>
      <c r="H222" s="9"/>
      <c r="I222" s="7"/>
      <c r="J222" s="9"/>
      <c r="K222" s="7"/>
      <c r="L222" s="9"/>
      <c r="M222" s="7"/>
      <c r="N222" s="9"/>
      <c r="O222" s="7"/>
      <c r="P222" s="9"/>
      <c r="Q222" s="7"/>
      <c r="R222" s="7"/>
      <c r="S222" s="10"/>
      <c r="T222" s="10"/>
    </row>
    <row r="223" spans="1:20" x14ac:dyDescent="0.15">
      <c r="A223" s="26"/>
      <c r="B223" s="11" t="s">
        <v>70</v>
      </c>
      <c r="C223" s="12"/>
      <c r="D223" s="13"/>
      <c r="E223" s="12"/>
      <c r="F223" s="14"/>
      <c r="G223" s="12"/>
      <c r="H223" s="14"/>
      <c r="I223" s="12"/>
      <c r="J223" s="14"/>
      <c r="K223" s="12"/>
      <c r="L223" s="14"/>
      <c r="M223" s="12"/>
      <c r="N223" s="14"/>
      <c r="O223" s="12"/>
      <c r="P223" s="14"/>
      <c r="Q223" s="12"/>
      <c r="R223" s="12"/>
      <c r="S223" s="10"/>
      <c r="T223" s="10"/>
    </row>
    <row r="224" spans="1:20" x14ac:dyDescent="0.15">
      <c r="A224" s="26"/>
      <c r="B224" s="11" t="s">
        <v>71</v>
      </c>
      <c r="C224" s="12"/>
      <c r="D224" s="13"/>
      <c r="E224" s="12"/>
      <c r="F224" s="14"/>
      <c r="G224" s="12"/>
      <c r="H224" s="14"/>
      <c r="I224" s="12"/>
      <c r="J224" s="14"/>
      <c r="K224" s="12"/>
      <c r="L224" s="14"/>
      <c r="M224" s="12"/>
      <c r="N224" s="14"/>
      <c r="O224" s="12"/>
      <c r="P224" s="14"/>
      <c r="Q224" s="12"/>
      <c r="R224" s="12"/>
      <c r="S224" s="10"/>
      <c r="T224" s="10"/>
    </row>
    <row r="225" spans="1:20" x14ac:dyDescent="0.15">
      <c r="A225" s="26"/>
      <c r="B225" s="11" t="s">
        <v>72</v>
      </c>
      <c r="C225" s="12"/>
      <c r="D225" s="13"/>
      <c r="E225" s="12"/>
      <c r="F225" s="14"/>
      <c r="G225" s="12"/>
      <c r="H225" s="14"/>
      <c r="I225" s="12"/>
      <c r="J225" s="14"/>
      <c r="K225" s="12"/>
      <c r="L225" s="14"/>
      <c r="M225" s="12"/>
      <c r="N225" s="14"/>
      <c r="O225" s="12"/>
      <c r="P225" s="14"/>
      <c r="Q225" s="12"/>
      <c r="R225" s="12"/>
      <c r="S225" s="10"/>
      <c r="T225" s="10"/>
    </row>
    <row r="226" spans="1:20" x14ac:dyDescent="0.15">
      <c r="A226" s="26"/>
      <c r="B226" s="11" t="s">
        <v>73</v>
      </c>
      <c r="C226" s="12"/>
      <c r="D226" s="13"/>
      <c r="E226" s="12"/>
      <c r="F226" s="14"/>
      <c r="G226" s="12"/>
      <c r="H226" s="14"/>
      <c r="I226" s="12"/>
      <c r="J226" s="14"/>
      <c r="K226" s="12"/>
      <c r="L226" s="14"/>
      <c r="M226" s="12"/>
      <c r="N226" s="14"/>
      <c r="O226" s="12"/>
      <c r="P226" s="14"/>
      <c r="Q226" s="12"/>
      <c r="R226" s="12"/>
      <c r="S226" s="10"/>
      <c r="T226" s="10"/>
    </row>
    <row r="227" spans="1:20" x14ac:dyDescent="0.15">
      <c r="A227" s="27"/>
      <c r="B227" s="11" t="s">
        <v>74</v>
      </c>
      <c r="C227" s="12"/>
      <c r="D227" s="13"/>
      <c r="E227" s="12"/>
      <c r="F227" s="14"/>
      <c r="G227" s="12"/>
      <c r="H227" s="14"/>
      <c r="I227" s="12"/>
      <c r="J227" s="14"/>
      <c r="K227" s="12"/>
      <c r="L227" s="14"/>
      <c r="M227" s="12"/>
      <c r="N227" s="14"/>
      <c r="O227" s="12"/>
      <c r="P227" s="14"/>
      <c r="Q227" s="12"/>
      <c r="R227" s="12"/>
      <c r="S227" s="10"/>
      <c r="T227" s="10"/>
    </row>
    <row r="228" spans="1:20" x14ac:dyDescent="0.15">
      <c r="A228" s="25" t="s">
        <v>57</v>
      </c>
      <c r="B228" s="6" t="s">
        <v>69</v>
      </c>
      <c r="C228" s="7"/>
      <c r="D228" s="8"/>
      <c r="E228" s="7"/>
      <c r="F228" s="9"/>
      <c r="G228" s="7"/>
      <c r="H228" s="9"/>
      <c r="I228" s="7"/>
      <c r="J228" s="9"/>
      <c r="K228" s="7"/>
      <c r="L228" s="9"/>
      <c r="M228" s="7"/>
      <c r="N228" s="9"/>
      <c r="O228" s="7"/>
      <c r="P228" s="9"/>
      <c r="Q228" s="7"/>
      <c r="R228" s="7"/>
      <c r="S228" s="10"/>
      <c r="T228" s="10"/>
    </row>
    <row r="229" spans="1:20" x14ac:dyDescent="0.15">
      <c r="A229" s="26"/>
      <c r="B229" s="11" t="s">
        <v>70</v>
      </c>
      <c r="C229" s="12"/>
      <c r="D229" s="13"/>
      <c r="E229" s="12"/>
      <c r="F229" s="14"/>
      <c r="G229" s="12"/>
      <c r="H229" s="14"/>
      <c r="I229" s="12"/>
      <c r="J229" s="14"/>
      <c r="K229" s="12"/>
      <c r="L229" s="14"/>
      <c r="M229" s="12"/>
      <c r="N229" s="14"/>
      <c r="O229" s="12"/>
      <c r="P229" s="14"/>
      <c r="Q229" s="12"/>
      <c r="R229" s="12"/>
      <c r="S229" s="10"/>
      <c r="T229" s="10"/>
    </row>
    <row r="230" spans="1:20" x14ac:dyDescent="0.15">
      <c r="A230" s="26"/>
      <c r="B230" s="11" t="s">
        <v>71</v>
      </c>
      <c r="C230" s="12"/>
      <c r="D230" s="13"/>
      <c r="E230" s="12"/>
      <c r="F230" s="14"/>
      <c r="G230" s="12"/>
      <c r="H230" s="14"/>
      <c r="I230" s="12"/>
      <c r="J230" s="14"/>
      <c r="K230" s="12"/>
      <c r="L230" s="14"/>
      <c r="M230" s="12"/>
      <c r="N230" s="14"/>
      <c r="O230" s="12"/>
      <c r="P230" s="14"/>
      <c r="Q230" s="12"/>
      <c r="R230" s="12"/>
      <c r="S230" s="10"/>
      <c r="T230" s="10"/>
    </row>
    <row r="231" spans="1:20" x14ac:dyDescent="0.15">
      <c r="A231" s="26"/>
      <c r="B231" s="11" t="s">
        <v>72</v>
      </c>
      <c r="C231" s="12"/>
      <c r="D231" s="13"/>
      <c r="E231" s="12"/>
      <c r="F231" s="14"/>
      <c r="G231" s="12"/>
      <c r="H231" s="14"/>
      <c r="I231" s="12"/>
      <c r="J231" s="14"/>
      <c r="K231" s="12"/>
      <c r="L231" s="14"/>
      <c r="M231" s="12"/>
      <c r="N231" s="14"/>
      <c r="O231" s="12"/>
      <c r="P231" s="14"/>
      <c r="Q231" s="12"/>
      <c r="R231" s="12"/>
      <c r="S231" s="10"/>
      <c r="T231" s="10"/>
    </row>
    <row r="232" spans="1:20" x14ac:dyDescent="0.15">
      <c r="A232" s="26"/>
      <c r="B232" s="11" t="s">
        <v>73</v>
      </c>
      <c r="C232" s="12"/>
      <c r="D232" s="13"/>
      <c r="E232" s="12"/>
      <c r="F232" s="14"/>
      <c r="G232" s="12"/>
      <c r="H232" s="14"/>
      <c r="I232" s="12"/>
      <c r="J232" s="14"/>
      <c r="K232" s="12"/>
      <c r="L232" s="14"/>
      <c r="M232" s="12"/>
      <c r="N232" s="14"/>
      <c r="O232" s="12"/>
      <c r="P232" s="14"/>
      <c r="Q232" s="12"/>
      <c r="R232" s="12"/>
      <c r="S232" s="10"/>
      <c r="T232" s="10"/>
    </row>
    <row r="233" spans="1:20" x14ac:dyDescent="0.15">
      <c r="A233" s="27"/>
      <c r="B233" s="11" t="s">
        <v>74</v>
      </c>
      <c r="C233" s="12"/>
      <c r="D233" s="13"/>
      <c r="E233" s="12"/>
      <c r="F233" s="14"/>
      <c r="G233" s="12"/>
      <c r="H233" s="14"/>
      <c r="I233" s="12"/>
      <c r="J233" s="14"/>
      <c r="K233" s="12"/>
      <c r="L233" s="14"/>
      <c r="M233" s="12"/>
      <c r="N233" s="14"/>
      <c r="O233" s="12"/>
      <c r="P233" s="14"/>
      <c r="Q233" s="12"/>
      <c r="R233" s="12"/>
      <c r="S233" s="10"/>
      <c r="T233" s="10"/>
    </row>
    <row r="234" spans="1:20" x14ac:dyDescent="0.15">
      <c r="A234" s="25" t="s">
        <v>58</v>
      </c>
      <c r="B234" s="6" t="s">
        <v>69</v>
      </c>
      <c r="C234" s="7"/>
      <c r="D234" s="8"/>
      <c r="E234" s="7"/>
      <c r="F234" s="9"/>
      <c r="G234" s="7"/>
      <c r="H234" s="9"/>
      <c r="I234" s="7"/>
      <c r="J234" s="9"/>
      <c r="K234" s="7"/>
      <c r="L234" s="9"/>
      <c r="M234" s="7"/>
      <c r="N234" s="9"/>
      <c r="O234" s="7"/>
      <c r="P234" s="9"/>
      <c r="Q234" s="7"/>
      <c r="R234" s="7"/>
      <c r="S234" s="10"/>
      <c r="T234" s="10"/>
    </row>
    <row r="235" spans="1:20" x14ac:dyDescent="0.15">
      <c r="A235" s="26"/>
      <c r="B235" s="11" t="s">
        <v>70</v>
      </c>
      <c r="C235" s="12"/>
      <c r="D235" s="13"/>
      <c r="E235" s="12"/>
      <c r="F235" s="14"/>
      <c r="G235" s="12"/>
      <c r="H235" s="14"/>
      <c r="I235" s="12"/>
      <c r="J235" s="14"/>
      <c r="K235" s="12"/>
      <c r="L235" s="14"/>
      <c r="M235" s="12"/>
      <c r="N235" s="14"/>
      <c r="O235" s="12"/>
      <c r="P235" s="14"/>
      <c r="Q235" s="12"/>
      <c r="R235" s="12"/>
      <c r="S235" s="10"/>
      <c r="T235" s="10"/>
    </row>
    <row r="236" spans="1:20" x14ac:dyDescent="0.15">
      <c r="A236" s="26"/>
      <c r="B236" s="11" t="s">
        <v>71</v>
      </c>
      <c r="C236" s="12"/>
      <c r="D236" s="13"/>
      <c r="E236" s="12"/>
      <c r="F236" s="14"/>
      <c r="G236" s="12"/>
      <c r="H236" s="14"/>
      <c r="I236" s="12"/>
      <c r="J236" s="14"/>
      <c r="K236" s="12"/>
      <c r="L236" s="14"/>
      <c r="M236" s="12"/>
      <c r="N236" s="14"/>
      <c r="O236" s="12"/>
      <c r="P236" s="14"/>
      <c r="Q236" s="12"/>
      <c r="R236" s="12"/>
      <c r="S236" s="10"/>
      <c r="T236" s="10"/>
    </row>
    <row r="237" spans="1:20" x14ac:dyDescent="0.15">
      <c r="A237" s="26"/>
      <c r="B237" s="11" t="s">
        <v>72</v>
      </c>
      <c r="C237" s="12"/>
      <c r="D237" s="13"/>
      <c r="E237" s="12"/>
      <c r="F237" s="14"/>
      <c r="G237" s="12"/>
      <c r="H237" s="14"/>
      <c r="I237" s="12"/>
      <c r="J237" s="14"/>
      <c r="K237" s="12"/>
      <c r="L237" s="14"/>
      <c r="M237" s="12"/>
      <c r="N237" s="14"/>
      <c r="O237" s="12"/>
      <c r="P237" s="14"/>
      <c r="Q237" s="12"/>
      <c r="R237" s="12"/>
      <c r="S237" s="10"/>
      <c r="T237" s="10"/>
    </row>
    <row r="238" spans="1:20" x14ac:dyDescent="0.15">
      <c r="A238" s="26"/>
      <c r="B238" s="11" t="s">
        <v>73</v>
      </c>
      <c r="C238" s="12"/>
      <c r="D238" s="13"/>
      <c r="E238" s="12"/>
      <c r="F238" s="14"/>
      <c r="G238" s="12"/>
      <c r="H238" s="14"/>
      <c r="I238" s="12"/>
      <c r="J238" s="14"/>
      <c r="K238" s="12"/>
      <c r="L238" s="14"/>
      <c r="M238" s="12"/>
      <c r="N238" s="14"/>
      <c r="O238" s="12"/>
      <c r="P238" s="14"/>
      <c r="Q238" s="12"/>
      <c r="R238" s="12"/>
      <c r="S238" s="10"/>
      <c r="T238" s="10"/>
    </row>
    <row r="239" spans="1:20" x14ac:dyDescent="0.15">
      <c r="A239" s="27"/>
      <c r="B239" s="11" t="s">
        <v>74</v>
      </c>
      <c r="C239" s="12"/>
      <c r="D239" s="13"/>
      <c r="E239" s="12"/>
      <c r="F239" s="14"/>
      <c r="G239" s="12"/>
      <c r="H239" s="14"/>
      <c r="I239" s="12"/>
      <c r="J239" s="14"/>
      <c r="K239" s="12"/>
      <c r="L239" s="14"/>
      <c r="M239" s="12"/>
      <c r="N239" s="14"/>
      <c r="O239" s="12"/>
      <c r="P239" s="14"/>
      <c r="Q239" s="12"/>
      <c r="R239" s="12"/>
      <c r="S239" s="10"/>
      <c r="T239" s="10"/>
    </row>
    <row r="240" spans="1:20" x14ac:dyDescent="0.15">
      <c r="A240" s="25" t="s">
        <v>59</v>
      </c>
      <c r="B240" s="6" t="s">
        <v>69</v>
      </c>
      <c r="C240" s="7"/>
      <c r="D240" s="8"/>
      <c r="E240" s="7"/>
      <c r="F240" s="9"/>
      <c r="G240" s="7"/>
      <c r="H240" s="9"/>
      <c r="I240" s="7"/>
      <c r="J240" s="9"/>
      <c r="K240" s="7"/>
      <c r="L240" s="9"/>
      <c r="M240" s="7"/>
      <c r="N240" s="9"/>
      <c r="O240" s="7"/>
      <c r="P240" s="9"/>
      <c r="Q240" s="7"/>
      <c r="R240" s="7"/>
      <c r="S240" s="10"/>
      <c r="T240" s="10"/>
    </row>
    <row r="241" spans="1:20" x14ac:dyDescent="0.15">
      <c r="A241" s="26"/>
      <c r="B241" s="11" t="s">
        <v>70</v>
      </c>
      <c r="C241" s="12"/>
      <c r="D241" s="13"/>
      <c r="E241" s="12"/>
      <c r="F241" s="14"/>
      <c r="G241" s="12"/>
      <c r="H241" s="14"/>
      <c r="I241" s="12"/>
      <c r="J241" s="14"/>
      <c r="K241" s="12"/>
      <c r="L241" s="14"/>
      <c r="M241" s="12"/>
      <c r="N241" s="14"/>
      <c r="O241" s="12"/>
      <c r="P241" s="14"/>
      <c r="Q241" s="12"/>
      <c r="R241" s="12"/>
      <c r="S241" s="10"/>
      <c r="T241" s="10"/>
    </row>
    <row r="242" spans="1:20" x14ac:dyDescent="0.15">
      <c r="A242" s="26"/>
      <c r="B242" s="11" t="s">
        <v>71</v>
      </c>
      <c r="C242" s="12"/>
      <c r="D242" s="13"/>
      <c r="E242" s="12"/>
      <c r="F242" s="14"/>
      <c r="G242" s="12"/>
      <c r="H242" s="14"/>
      <c r="I242" s="12"/>
      <c r="J242" s="14"/>
      <c r="K242" s="12"/>
      <c r="L242" s="14"/>
      <c r="M242" s="12"/>
      <c r="N242" s="14"/>
      <c r="O242" s="12"/>
      <c r="P242" s="14"/>
      <c r="Q242" s="12"/>
      <c r="R242" s="12"/>
      <c r="S242" s="10"/>
      <c r="T242" s="10"/>
    </row>
    <row r="243" spans="1:20" x14ac:dyDescent="0.15">
      <c r="A243" s="26"/>
      <c r="B243" s="11" t="s">
        <v>72</v>
      </c>
      <c r="C243" s="12"/>
      <c r="D243" s="13"/>
      <c r="E243" s="12"/>
      <c r="F243" s="14"/>
      <c r="G243" s="12"/>
      <c r="H243" s="14"/>
      <c r="I243" s="12"/>
      <c r="J243" s="14"/>
      <c r="K243" s="12"/>
      <c r="L243" s="14"/>
      <c r="M243" s="12"/>
      <c r="N243" s="14"/>
      <c r="O243" s="12"/>
      <c r="P243" s="14"/>
      <c r="Q243" s="12"/>
      <c r="R243" s="12"/>
      <c r="S243" s="10"/>
      <c r="T243" s="10"/>
    </row>
    <row r="244" spans="1:20" x14ac:dyDescent="0.15">
      <c r="A244" s="26"/>
      <c r="B244" s="11" t="s">
        <v>73</v>
      </c>
      <c r="C244" s="12"/>
      <c r="D244" s="13"/>
      <c r="E244" s="12"/>
      <c r="F244" s="14"/>
      <c r="G244" s="12"/>
      <c r="H244" s="14"/>
      <c r="I244" s="12"/>
      <c r="J244" s="14"/>
      <c r="K244" s="12"/>
      <c r="L244" s="14"/>
      <c r="M244" s="12"/>
      <c r="N244" s="14"/>
      <c r="O244" s="12"/>
      <c r="P244" s="14"/>
      <c r="Q244" s="12"/>
      <c r="R244" s="12"/>
      <c r="S244" s="10"/>
      <c r="T244" s="10"/>
    </row>
    <row r="245" spans="1:20" x14ac:dyDescent="0.15">
      <c r="A245" s="27"/>
      <c r="B245" s="15" t="s">
        <v>74</v>
      </c>
      <c r="C245" s="16"/>
      <c r="D245" s="17"/>
      <c r="E245" s="16"/>
      <c r="F245" s="18"/>
      <c r="G245" s="16"/>
      <c r="H245" s="18"/>
      <c r="I245" s="16"/>
      <c r="J245" s="18"/>
      <c r="K245" s="16"/>
      <c r="L245" s="18"/>
      <c r="M245" s="16"/>
      <c r="N245" s="18"/>
      <c r="O245" s="16"/>
      <c r="P245" s="18"/>
      <c r="Q245" s="16"/>
      <c r="R245" s="16"/>
      <c r="S245" s="10"/>
      <c r="T245" s="10"/>
    </row>
    <row r="246" spans="1:20" x14ac:dyDescent="0.15">
      <c r="A246" s="25" t="s">
        <v>60</v>
      </c>
      <c r="B246" s="6" t="s">
        <v>69</v>
      </c>
      <c r="C246" s="7"/>
      <c r="D246" s="8"/>
      <c r="E246" s="7"/>
      <c r="F246" s="9"/>
      <c r="G246" s="7"/>
      <c r="H246" s="9"/>
      <c r="I246" s="7"/>
      <c r="J246" s="9"/>
      <c r="K246" s="7"/>
      <c r="L246" s="9"/>
      <c r="M246" s="7"/>
      <c r="N246" s="9"/>
      <c r="O246" s="7"/>
      <c r="P246" s="9"/>
      <c r="Q246" s="7"/>
      <c r="R246" s="7"/>
      <c r="S246" s="10"/>
      <c r="T246" s="10"/>
    </row>
    <row r="247" spans="1:20" x14ac:dyDescent="0.15">
      <c r="A247" s="26"/>
      <c r="B247" s="11" t="s">
        <v>70</v>
      </c>
      <c r="C247" s="12"/>
      <c r="D247" s="13"/>
      <c r="E247" s="12"/>
      <c r="F247" s="14"/>
      <c r="G247" s="12"/>
      <c r="H247" s="14"/>
      <c r="I247" s="12"/>
      <c r="J247" s="14"/>
      <c r="K247" s="12"/>
      <c r="L247" s="14"/>
      <c r="M247" s="12"/>
      <c r="N247" s="14"/>
      <c r="O247" s="12"/>
      <c r="P247" s="14"/>
      <c r="Q247" s="12"/>
      <c r="R247" s="12"/>
      <c r="S247" s="10"/>
      <c r="T247" s="10"/>
    </row>
    <row r="248" spans="1:20" x14ac:dyDescent="0.15">
      <c r="A248" s="26"/>
      <c r="B248" s="11" t="s">
        <v>71</v>
      </c>
      <c r="C248" s="12"/>
      <c r="D248" s="13"/>
      <c r="E248" s="12"/>
      <c r="F248" s="14"/>
      <c r="G248" s="12"/>
      <c r="H248" s="14"/>
      <c r="I248" s="12"/>
      <c r="J248" s="14"/>
      <c r="K248" s="12"/>
      <c r="L248" s="14"/>
      <c r="M248" s="12"/>
      <c r="N248" s="14"/>
      <c r="O248" s="12"/>
      <c r="P248" s="14"/>
      <c r="Q248" s="12"/>
      <c r="R248" s="12"/>
      <c r="S248" s="10"/>
      <c r="T248" s="10"/>
    </row>
    <row r="249" spans="1:20" x14ac:dyDescent="0.15">
      <c r="A249" s="26"/>
      <c r="B249" s="11" t="s">
        <v>72</v>
      </c>
      <c r="C249" s="12"/>
      <c r="D249" s="13"/>
      <c r="E249" s="12"/>
      <c r="F249" s="14"/>
      <c r="G249" s="12"/>
      <c r="H249" s="14"/>
      <c r="I249" s="12"/>
      <c r="J249" s="14"/>
      <c r="K249" s="12"/>
      <c r="L249" s="14"/>
      <c r="M249" s="12"/>
      <c r="N249" s="14"/>
      <c r="O249" s="12"/>
      <c r="P249" s="14"/>
      <c r="Q249" s="12"/>
      <c r="R249" s="12"/>
      <c r="S249" s="10"/>
      <c r="T249" s="10"/>
    </row>
    <row r="250" spans="1:20" x14ac:dyDescent="0.15">
      <c r="A250" s="26"/>
      <c r="B250" s="11" t="s">
        <v>73</v>
      </c>
      <c r="C250" s="12"/>
      <c r="D250" s="13"/>
      <c r="E250" s="12"/>
      <c r="F250" s="14"/>
      <c r="G250" s="12"/>
      <c r="H250" s="14"/>
      <c r="I250" s="12"/>
      <c r="J250" s="14"/>
      <c r="K250" s="12"/>
      <c r="L250" s="14"/>
      <c r="M250" s="12"/>
      <c r="N250" s="14"/>
      <c r="O250" s="12"/>
      <c r="P250" s="14"/>
      <c r="Q250" s="12"/>
      <c r="R250" s="12"/>
      <c r="S250" s="10"/>
      <c r="T250" s="10"/>
    </row>
    <row r="251" spans="1:20" x14ac:dyDescent="0.15">
      <c r="A251" s="27"/>
      <c r="B251" s="15" t="s">
        <v>74</v>
      </c>
      <c r="C251" s="16"/>
      <c r="D251" s="17"/>
      <c r="E251" s="16"/>
      <c r="F251" s="18"/>
      <c r="G251" s="16"/>
      <c r="H251" s="18"/>
      <c r="I251" s="16"/>
      <c r="J251" s="18"/>
      <c r="K251" s="16"/>
      <c r="L251" s="18"/>
      <c r="M251" s="16"/>
      <c r="N251" s="18"/>
      <c r="O251" s="16"/>
      <c r="P251" s="18"/>
      <c r="Q251" s="16"/>
      <c r="R251" s="16"/>
      <c r="S251" s="10"/>
      <c r="T251" s="10"/>
    </row>
    <row r="252" spans="1:20" x14ac:dyDescent="0.15">
      <c r="A252" s="25" t="s">
        <v>61</v>
      </c>
      <c r="B252" s="6" t="s">
        <v>69</v>
      </c>
      <c r="C252" s="7"/>
      <c r="D252" s="8"/>
      <c r="E252" s="7"/>
      <c r="F252" s="9"/>
      <c r="G252" s="7"/>
      <c r="H252" s="9"/>
      <c r="I252" s="7"/>
      <c r="J252" s="9"/>
      <c r="K252" s="7"/>
      <c r="L252" s="9"/>
      <c r="M252" s="7"/>
      <c r="N252" s="9"/>
      <c r="O252" s="7"/>
      <c r="P252" s="9"/>
      <c r="Q252" s="7"/>
      <c r="R252" s="7"/>
      <c r="S252" s="10"/>
      <c r="T252" s="10"/>
    </row>
    <row r="253" spans="1:20" x14ac:dyDescent="0.15">
      <c r="A253" s="26"/>
      <c r="B253" s="11" t="s">
        <v>70</v>
      </c>
      <c r="C253" s="12"/>
      <c r="D253" s="13"/>
      <c r="E253" s="12"/>
      <c r="F253" s="14"/>
      <c r="G253" s="12"/>
      <c r="H253" s="14"/>
      <c r="I253" s="12"/>
      <c r="J253" s="14"/>
      <c r="K253" s="12"/>
      <c r="L253" s="14"/>
      <c r="M253" s="12"/>
      <c r="N253" s="14"/>
      <c r="O253" s="12"/>
      <c r="P253" s="14"/>
      <c r="Q253" s="12"/>
      <c r="R253" s="12"/>
      <c r="S253" s="10"/>
      <c r="T253" s="10"/>
    </row>
    <row r="254" spans="1:20" x14ac:dyDescent="0.15">
      <c r="A254" s="26"/>
      <c r="B254" s="11" t="s">
        <v>71</v>
      </c>
      <c r="C254" s="12"/>
      <c r="D254" s="13"/>
      <c r="E254" s="12"/>
      <c r="F254" s="14"/>
      <c r="G254" s="12"/>
      <c r="H254" s="14"/>
      <c r="I254" s="12"/>
      <c r="J254" s="14"/>
      <c r="K254" s="12"/>
      <c r="L254" s="14"/>
      <c r="M254" s="12"/>
      <c r="N254" s="14"/>
      <c r="O254" s="12"/>
      <c r="P254" s="14"/>
      <c r="Q254" s="12"/>
      <c r="R254" s="12"/>
      <c r="S254" s="10"/>
      <c r="T254" s="10"/>
    </row>
    <row r="255" spans="1:20" x14ac:dyDescent="0.15">
      <c r="A255" s="26"/>
      <c r="B255" s="11" t="s">
        <v>72</v>
      </c>
      <c r="C255" s="12"/>
      <c r="D255" s="13"/>
      <c r="E255" s="12"/>
      <c r="F255" s="14"/>
      <c r="G255" s="12"/>
      <c r="H255" s="14"/>
      <c r="I255" s="12"/>
      <c r="J255" s="14"/>
      <c r="K255" s="12"/>
      <c r="L255" s="14"/>
      <c r="M255" s="12"/>
      <c r="N255" s="14"/>
      <c r="O255" s="12"/>
      <c r="P255" s="14"/>
      <c r="Q255" s="12"/>
      <c r="R255" s="12"/>
      <c r="S255" s="10"/>
      <c r="T255" s="10"/>
    </row>
    <row r="256" spans="1:20" x14ac:dyDescent="0.15">
      <c r="A256" s="26"/>
      <c r="B256" s="11" t="s">
        <v>73</v>
      </c>
      <c r="C256" s="12"/>
      <c r="D256" s="13"/>
      <c r="E256" s="12"/>
      <c r="F256" s="14"/>
      <c r="G256" s="12"/>
      <c r="H256" s="14"/>
      <c r="I256" s="12"/>
      <c r="J256" s="14"/>
      <c r="K256" s="12"/>
      <c r="L256" s="14"/>
      <c r="M256" s="12"/>
      <c r="N256" s="14"/>
      <c r="O256" s="12"/>
      <c r="P256" s="14"/>
      <c r="Q256" s="12"/>
      <c r="R256" s="12"/>
      <c r="S256" s="10"/>
      <c r="T256" s="10"/>
    </row>
    <row r="257" spans="1:20" x14ac:dyDescent="0.15">
      <c r="A257" s="27"/>
      <c r="B257" s="11" t="s">
        <v>74</v>
      </c>
      <c r="C257" s="12"/>
      <c r="D257" s="13"/>
      <c r="E257" s="12"/>
      <c r="F257" s="14"/>
      <c r="G257" s="12"/>
      <c r="H257" s="14"/>
      <c r="I257" s="12"/>
      <c r="J257" s="14"/>
      <c r="K257" s="12"/>
      <c r="L257" s="14"/>
      <c r="M257" s="12"/>
      <c r="N257" s="14"/>
      <c r="O257" s="12"/>
      <c r="P257" s="14"/>
      <c r="Q257" s="12"/>
      <c r="R257" s="12"/>
      <c r="S257" s="10"/>
      <c r="T257" s="10"/>
    </row>
    <row r="258" spans="1:20" x14ac:dyDescent="0.15">
      <c r="A258" s="25" t="s">
        <v>62</v>
      </c>
      <c r="B258" s="6" t="s">
        <v>69</v>
      </c>
      <c r="C258" s="7"/>
      <c r="D258" s="8"/>
      <c r="E258" s="7"/>
      <c r="F258" s="9"/>
      <c r="G258" s="7"/>
      <c r="H258" s="9"/>
      <c r="I258" s="7"/>
      <c r="J258" s="9"/>
      <c r="K258" s="7"/>
      <c r="L258" s="9"/>
      <c r="M258" s="7"/>
      <c r="N258" s="9"/>
      <c r="O258" s="7"/>
      <c r="P258" s="9"/>
      <c r="Q258" s="7"/>
      <c r="R258" s="7"/>
      <c r="S258" s="10"/>
      <c r="T258" s="10"/>
    </row>
    <row r="259" spans="1:20" x14ac:dyDescent="0.15">
      <c r="A259" s="26"/>
      <c r="B259" s="11" t="s">
        <v>70</v>
      </c>
      <c r="C259" s="12"/>
      <c r="D259" s="13"/>
      <c r="E259" s="12"/>
      <c r="F259" s="14"/>
      <c r="G259" s="12"/>
      <c r="H259" s="14"/>
      <c r="I259" s="12"/>
      <c r="J259" s="14"/>
      <c r="K259" s="12"/>
      <c r="L259" s="14"/>
      <c r="M259" s="12"/>
      <c r="N259" s="14"/>
      <c r="O259" s="12"/>
      <c r="P259" s="14"/>
      <c r="Q259" s="12"/>
      <c r="R259" s="12"/>
      <c r="S259" s="10"/>
      <c r="T259" s="10"/>
    </row>
    <row r="260" spans="1:20" x14ac:dyDescent="0.15">
      <c r="A260" s="26"/>
      <c r="B260" s="11" t="s">
        <v>71</v>
      </c>
      <c r="C260" s="12"/>
      <c r="D260" s="13"/>
      <c r="E260" s="12"/>
      <c r="F260" s="14"/>
      <c r="G260" s="12"/>
      <c r="H260" s="14"/>
      <c r="I260" s="12"/>
      <c r="J260" s="14"/>
      <c r="K260" s="12"/>
      <c r="L260" s="14"/>
      <c r="M260" s="12"/>
      <c r="N260" s="14"/>
      <c r="O260" s="12"/>
      <c r="P260" s="14"/>
      <c r="Q260" s="12"/>
      <c r="R260" s="12"/>
      <c r="S260" s="10"/>
      <c r="T260" s="10"/>
    </row>
    <row r="261" spans="1:20" x14ac:dyDescent="0.15">
      <c r="A261" s="26"/>
      <c r="B261" s="11" t="s">
        <v>72</v>
      </c>
      <c r="C261" s="12"/>
      <c r="D261" s="13"/>
      <c r="E261" s="12"/>
      <c r="F261" s="14"/>
      <c r="G261" s="12"/>
      <c r="H261" s="14"/>
      <c r="I261" s="12"/>
      <c r="J261" s="14"/>
      <c r="K261" s="12"/>
      <c r="L261" s="14"/>
      <c r="M261" s="12"/>
      <c r="N261" s="14"/>
      <c r="O261" s="12"/>
      <c r="P261" s="14"/>
      <c r="Q261" s="12"/>
      <c r="R261" s="12"/>
      <c r="S261" s="10"/>
      <c r="T261" s="10"/>
    </row>
    <row r="262" spans="1:20" x14ac:dyDescent="0.15">
      <c r="A262" s="26"/>
      <c r="B262" s="11" t="s">
        <v>73</v>
      </c>
      <c r="C262" s="12"/>
      <c r="D262" s="13"/>
      <c r="E262" s="12"/>
      <c r="F262" s="14"/>
      <c r="G262" s="12"/>
      <c r="H262" s="14"/>
      <c r="I262" s="12"/>
      <c r="J262" s="14"/>
      <c r="K262" s="12"/>
      <c r="L262" s="14"/>
      <c r="M262" s="12"/>
      <c r="N262" s="14"/>
      <c r="O262" s="12"/>
      <c r="P262" s="14"/>
      <c r="Q262" s="12"/>
      <c r="R262" s="12"/>
      <c r="S262" s="10"/>
      <c r="T262" s="10"/>
    </row>
    <row r="263" spans="1:20" x14ac:dyDescent="0.15">
      <c r="A263" s="27"/>
      <c r="B263" s="11" t="s">
        <v>74</v>
      </c>
      <c r="C263" s="12"/>
      <c r="D263" s="13"/>
      <c r="E263" s="12"/>
      <c r="F263" s="14"/>
      <c r="G263" s="12"/>
      <c r="H263" s="14"/>
      <c r="I263" s="12"/>
      <c r="J263" s="14"/>
      <c r="K263" s="12"/>
      <c r="L263" s="14"/>
      <c r="M263" s="12"/>
      <c r="N263" s="14"/>
      <c r="O263" s="12"/>
      <c r="P263" s="14"/>
      <c r="Q263" s="12"/>
      <c r="R263" s="12"/>
      <c r="S263" s="10"/>
      <c r="T263" s="10"/>
    </row>
    <row r="264" spans="1:20" x14ac:dyDescent="0.15">
      <c r="A264" s="25" t="s">
        <v>63</v>
      </c>
      <c r="B264" s="6" t="s">
        <v>69</v>
      </c>
      <c r="C264" s="7"/>
      <c r="D264" s="8"/>
      <c r="E264" s="7"/>
      <c r="F264" s="9"/>
      <c r="G264" s="7"/>
      <c r="H264" s="9"/>
      <c r="I264" s="7"/>
      <c r="J264" s="9"/>
      <c r="K264" s="7"/>
      <c r="L264" s="9"/>
      <c r="M264" s="7"/>
      <c r="N264" s="9"/>
      <c r="O264" s="7"/>
      <c r="P264" s="9"/>
      <c r="Q264" s="7"/>
      <c r="R264" s="7"/>
      <c r="S264" s="10"/>
      <c r="T264" s="10"/>
    </row>
    <row r="265" spans="1:20" x14ac:dyDescent="0.15">
      <c r="A265" s="26"/>
      <c r="B265" s="11" t="s">
        <v>70</v>
      </c>
      <c r="C265" s="12"/>
      <c r="D265" s="13"/>
      <c r="E265" s="12"/>
      <c r="F265" s="14"/>
      <c r="G265" s="12"/>
      <c r="H265" s="14"/>
      <c r="I265" s="12"/>
      <c r="J265" s="14"/>
      <c r="K265" s="12"/>
      <c r="L265" s="14"/>
      <c r="M265" s="12"/>
      <c r="N265" s="14"/>
      <c r="O265" s="12"/>
      <c r="P265" s="14"/>
      <c r="Q265" s="12"/>
      <c r="R265" s="12"/>
      <c r="S265" s="10"/>
      <c r="T265" s="10"/>
    </row>
    <row r="266" spans="1:20" x14ac:dyDescent="0.15">
      <c r="A266" s="26"/>
      <c r="B266" s="11" t="s">
        <v>71</v>
      </c>
      <c r="C266" s="12"/>
      <c r="D266" s="13"/>
      <c r="E266" s="12"/>
      <c r="F266" s="14"/>
      <c r="G266" s="12"/>
      <c r="H266" s="14"/>
      <c r="I266" s="12"/>
      <c r="J266" s="14"/>
      <c r="K266" s="12"/>
      <c r="L266" s="14"/>
      <c r="M266" s="12"/>
      <c r="N266" s="14"/>
      <c r="O266" s="12"/>
      <c r="P266" s="14"/>
      <c r="Q266" s="12"/>
      <c r="R266" s="12"/>
      <c r="S266" s="10"/>
      <c r="T266" s="10"/>
    </row>
    <row r="267" spans="1:20" x14ac:dyDescent="0.15">
      <c r="A267" s="26"/>
      <c r="B267" s="11" t="s">
        <v>72</v>
      </c>
      <c r="C267" s="12"/>
      <c r="D267" s="13"/>
      <c r="E267" s="12"/>
      <c r="F267" s="14"/>
      <c r="G267" s="12"/>
      <c r="H267" s="14"/>
      <c r="I267" s="12"/>
      <c r="J267" s="14"/>
      <c r="K267" s="12"/>
      <c r="L267" s="14"/>
      <c r="M267" s="12"/>
      <c r="N267" s="14"/>
      <c r="O267" s="12"/>
      <c r="P267" s="14"/>
      <c r="Q267" s="12"/>
      <c r="R267" s="12"/>
      <c r="S267" s="10"/>
      <c r="T267" s="10"/>
    </row>
    <row r="268" spans="1:20" x14ac:dyDescent="0.15">
      <c r="A268" s="26"/>
      <c r="B268" s="11" t="s">
        <v>73</v>
      </c>
      <c r="C268" s="12"/>
      <c r="D268" s="13"/>
      <c r="E268" s="12"/>
      <c r="F268" s="14"/>
      <c r="G268" s="12"/>
      <c r="H268" s="14"/>
      <c r="I268" s="12"/>
      <c r="J268" s="14"/>
      <c r="K268" s="12"/>
      <c r="L268" s="14"/>
      <c r="M268" s="12"/>
      <c r="N268" s="14"/>
      <c r="O268" s="12"/>
      <c r="P268" s="14"/>
      <c r="Q268" s="12"/>
      <c r="R268" s="12"/>
      <c r="S268" s="10"/>
      <c r="T268" s="10"/>
    </row>
    <row r="269" spans="1:20" x14ac:dyDescent="0.15">
      <c r="A269" s="27"/>
      <c r="B269" s="11" t="s">
        <v>74</v>
      </c>
      <c r="C269" s="12"/>
      <c r="D269" s="13"/>
      <c r="E269" s="12"/>
      <c r="F269" s="14"/>
      <c r="G269" s="12"/>
      <c r="H269" s="14"/>
      <c r="I269" s="12"/>
      <c r="J269" s="14"/>
      <c r="K269" s="12"/>
      <c r="L269" s="14"/>
      <c r="M269" s="12"/>
      <c r="N269" s="14"/>
      <c r="O269" s="12"/>
      <c r="P269" s="14"/>
      <c r="Q269" s="12"/>
      <c r="R269" s="12"/>
      <c r="S269" s="10"/>
      <c r="T269" s="10"/>
    </row>
    <row r="270" spans="1:20" x14ac:dyDescent="0.15">
      <c r="A270" s="25" t="s">
        <v>64</v>
      </c>
      <c r="B270" s="6" t="s">
        <v>69</v>
      </c>
      <c r="C270" s="7"/>
      <c r="D270" s="8"/>
      <c r="E270" s="7"/>
      <c r="F270" s="9"/>
      <c r="G270" s="7"/>
      <c r="H270" s="9"/>
      <c r="I270" s="7"/>
      <c r="J270" s="9"/>
      <c r="K270" s="7"/>
      <c r="L270" s="9"/>
      <c r="M270" s="7"/>
      <c r="N270" s="9"/>
      <c r="O270" s="7"/>
      <c r="P270" s="9"/>
      <c r="Q270" s="7"/>
      <c r="R270" s="7"/>
      <c r="S270" s="10"/>
      <c r="T270" s="10"/>
    </row>
    <row r="271" spans="1:20" x14ac:dyDescent="0.15">
      <c r="A271" s="26"/>
      <c r="B271" s="11" t="s">
        <v>70</v>
      </c>
      <c r="C271" s="12"/>
      <c r="D271" s="13"/>
      <c r="E271" s="12"/>
      <c r="F271" s="14"/>
      <c r="G271" s="12"/>
      <c r="H271" s="14"/>
      <c r="I271" s="12"/>
      <c r="J271" s="14"/>
      <c r="K271" s="12"/>
      <c r="L271" s="14"/>
      <c r="M271" s="12"/>
      <c r="N271" s="14"/>
      <c r="O271" s="12"/>
      <c r="P271" s="14"/>
      <c r="Q271" s="12"/>
      <c r="R271" s="12"/>
      <c r="S271" s="10"/>
      <c r="T271" s="10"/>
    </row>
    <row r="272" spans="1:20" x14ac:dyDescent="0.15">
      <c r="A272" s="26"/>
      <c r="B272" s="11" t="s">
        <v>71</v>
      </c>
      <c r="C272" s="12"/>
      <c r="D272" s="13"/>
      <c r="E272" s="12"/>
      <c r="F272" s="14"/>
      <c r="G272" s="12"/>
      <c r="H272" s="14"/>
      <c r="I272" s="12"/>
      <c r="J272" s="14"/>
      <c r="K272" s="12"/>
      <c r="L272" s="14"/>
      <c r="M272" s="12"/>
      <c r="N272" s="14"/>
      <c r="O272" s="12"/>
      <c r="P272" s="14"/>
      <c r="Q272" s="12"/>
      <c r="R272" s="12"/>
      <c r="S272" s="10"/>
      <c r="T272" s="10"/>
    </row>
    <row r="273" spans="1:20" x14ac:dyDescent="0.15">
      <c r="A273" s="26"/>
      <c r="B273" s="11" t="s">
        <v>72</v>
      </c>
      <c r="C273" s="12"/>
      <c r="D273" s="13"/>
      <c r="E273" s="12"/>
      <c r="F273" s="14"/>
      <c r="G273" s="12"/>
      <c r="H273" s="14"/>
      <c r="I273" s="12"/>
      <c r="J273" s="14"/>
      <c r="K273" s="12"/>
      <c r="L273" s="14"/>
      <c r="M273" s="12"/>
      <c r="N273" s="14"/>
      <c r="O273" s="12"/>
      <c r="P273" s="14"/>
      <c r="Q273" s="12"/>
      <c r="R273" s="12"/>
      <c r="S273" s="10"/>
      <c r="T273" s="10"/>
    </row>
    <row r="274" spans="1:20" x14ac:dyDescent="0.15">
      <c r="A274" s="26"/>
      <c r="B274" s="11" t="s">
        <v>73</v>
      </c>
      <c r="C274" s="12"/>
      <c r="D274" s="13"/>
      <c r="E274" s="12"/>
      <c r="F274" s="14"/>
      <c r="G274" s="12"/>
      <c r="H274" s="14"/>
      <c r="I274" s="12"/>
      <c r="J274" s="14"/>
      <c r="K274" s="12"/>
      <c r="L274" s="14"/>
      <c r="M274" s="12"/>
      <c r="N274" s="14"/>
      <c r="O274" s="12"/>
      <c r="P274" s="14"/>
      <c r="Q274" s="12"/>
      <c r="R274" s="12"/>
      <c r="S274" s="10"/>
      <c r="T274" s="10"/>
    </row>
    <row r="275" spans="1:20" x14ac:dyDescent="0.15">
      <c r="A275" s="27"/>
      <c r="B275" s="11" t="s">
        <v>74</v>
      </c>
      <c r="C275" s="12"/>
      <c r="D275" s="13"/>
      <c r="E275" s="12"/>
      <c r="F275" s="14"/>
      <c r="G275" s="12"/>
      <c r="H275" s="14"/>
      <c r="I275" s="12"/>
      <c r="J275" s="14"/>
      <c r="K275" s="12"/>
      <c r="L275" s="14"/>
      <c r="M275" s="12"/>
      <c r="N275" s="14"/>
      <c r="O275" s="12"/>
      <c r="P275" s="14"/>
      <c r="Q275" s="12"/>
      <c r="R275" s="12"/>
      <c r="S275" s="10"/>
      <c r="T275" s="10"/>
    </row>
    <row r="276" spans="1:20" x14ac:dyDescent="0.15">
      <c r="A276" s="25" t="s">
        <v>65</v>
      </c>
      <c r="B276" s="6" t="s">
        <v>69</v>
      </c>
      <c r="C276" s="7"/>
      <c r="D276" s="8"/>
      <c r="E276" s="7"/>
      <c r="F276" s="9"/>
      <c r="G276" s="7"/>
      <c r="H276" s="9"/>
      <c r="I276" s="7"/>
      <c r="J276" s="9"/>
      <c r="K276" s="7"/>
      <c r="L276" s="9"/>
      <c r="M276" s="7"/>
      <c r="N276" s="9"/>
      <c r="O276" s="7"/>
      <c r="P276" s="9"/>
      <c r="Q276" s="7"/>
      <c r="R276" s="7"/>
      <c r="S276" s="10"/>
      <c r="T276" s="10"/>
    </row>
    <row r="277" spans="1:20" x14ac:dyDescent="0.15">
      <c r="A277" s="26"/>
      <c r="B277" s="11" t="s">
        <v>70</v>
      </c>
      <c r="C277" s="12"/>
      <c r="D277" s="13"/>
      <c r="E277" s="12"/>
      <c r="F277" s="14"/>
      <c r="G277" s="12"/>
      <c r="H277" s="14"/>
      <c r="I277" s="12"/>
      <c r="J277" s="14"/>
      <c r="K277" s="12"/>
      <c r="L277" s="14"/>
      <c r="M277" s="12"/>
      <c r="N277" s="14"/>
      <c r="O277" s="12"/>
      <c r="P277" s="14"/>
      <c r="Q277" s="12"/>
      <c r="R277" s="12"/>
      <c r="S277" s="10"/>
      <c r="T277" s="10"/>
    </row>
    <row r="278" spans="1:20" x14ac:dyDescent="0.15">
      <c r="A278" s="26"/>
      <c r="B278" s="11" t="s">
        <v>71</v>
      </c>
      <c r="C278" s="12"/>
      <c r="D278" s="13"/>
      <c r="E278" s="12"/>
      <c r="F278" s="14"/>
      <c r="G278" s="12"/>
      <c r="H278" s="14"/>
      <c r="I278" s="12"/>
      <c r="J278" s="14"/>
      <c r="K278" s="12"/>
      <c r="L278" s="14"/>
      <c r="M278" s="12"/>
      <c r="N278" s="14"/>
      <c r="O278" s="12"/>
      <c r="P278" s="14"/>
      <c r="Q278" s="12"/>
      <c r="R278" s="12"/>
      <c r="S278" s="10"/>
      <c r="T278" s="10"/>
    </row>
    <row r="279" spans="1:20" x14ac:dyDescent="0.15">
      <c r="A279" s="26"/>
      <c r="B279" s="11" t="s">
        <v>72</v>
      </c>
      <c r="C279" s="12"/>
      <c r="D279" s="13"/>
      <c r="E279" s="12"/>
      <c r="F279" s="14"/>
      <c r="G279" s="12"/>
      <c r="H279" s="14"/>
      <c r="I279" s="12"/>
      <c r="J279" s="14"/>
      <c r="K279" s="12"/>
      <c r="L279" s="14"/>
      <c r="M279" s="12"/>
      <c r="N279" s="14"/>
      <c r="O279" s="12"/>
      <c r="P279" s="14"/>
      <c r="Q279" s="12"/>
      <c r="R279" s="12"/>
      <c r="S279" s="10"/>
      <c r="T279" s="10"/>
    </row>
    <row r="280" spans="1:20" x14ac:dyDescent="0.15">
      <c r="A280" s="26"/>
      <c r="B280" s="11" t="s">
        <v>73</v>
      </c>
      <c r="C280" s="12"/>
      <c r="D280" s="13"/>
      <c r="E280" s="12"/>
      <c r="F280" s="14"/>
      <c r="G280" s="12"/>
      <c r="H280" s="14"/>
      <c r="I280" s="12"/>
      <c r="J280" s="14"/>
      <c r="K280" s="12"/>
      <c r="L280" s="14"/>
      <c r="M280" s="12"/>
      <c r="N280" s="14"/>
      <c r="O280" s="12"/>
      <c r="P280" s="14"/>
      <c r="Q280" s="12"/>
      <c r="R280" s="12"/>
      <c r="S280" s="10"/>
      <c r="T280" s="10"/>
    </row>
    <row r="281" spans="1:20" x14ac:dyDescent="0.15">
      <c r="A281" s="27"/>
      <c r="B281" s="11" t="s">
        <v>74</v>
      </c>
      <c r="C281" s="12"/>
      <c r="D281" s="13"/>
      <c r="E281" s="12"/>
      <c r="F281" s="14"/>
      <c r="G281" s="12"/>
      <c r="H281" s="14"/>
      <c r="I281" s="12"/>
      <c r="J281" s="14"/>
      <c r="K281" s="12"/>
      <c r="L281" s="14"/>
      <c r="M281" s="12"/>
      <c r="N281" s="14"/>
      <c r="O281" s="12"/>
      <c r="P281" s="14"/>
      <c r="Q281" s="12"/>
      <c r="R281" s="12"/>
      <c r="S281" s="10"/>
      <c r="T281" s="10"/>
    </row>
    <row r="282" spans="1:20" x14ac:dyDescent="0.15">
      <c r="A282" s="25" t="s">
        <v>66</v>
      </c>
      <c r="B282" s="6" t="s">
        <v>69</v>
      </c>
      <c r="C282" s="7"/>
      <c r="D282" s="8"/>
      <c r="E282" s="7"/>
      <c r="F282" s="9"/>
      <c r="G282" s="7"/>
      <c r="H282" s="9"/>
      <c r="I282" s="7"/>
      <c r="J282" s="9"/>
      <c r="K282" s="7"/>
      <c r="L282" s="9"/>
      <c r="M282" s="7"/>
      <c r="N282" s="9"/>
      <c r="O282" s="7"/>
      <c r="P282" s="9"/>
      <c r="Q282" s="7"/>
      <c r="R282" s="7"/>
      <c r="S282" s="10"/>
      <c r="T282" s="10"/>
    </row>
    <row r="283" spans="1:20" x14ac:dyDescent="0.15">
      <c r="A283" s="26"/>
      <c r="B283" s="11" t="s">
        <v>70</v>
      </c>
      <c r="C283" s="12"/>
      <c r="D283" s="13"/>
      <c r="E283" s="12"/>
      <c r="F283" s="14"/>
      <c r="G283" s="12"/>
      <c r="H283" s="14"/>
      <c r="I283" s="12"/>
      <c r="J283" s="14"/>
      <c r="K283" s="12"/>
      <c r="L283" s="14"/>
      <c r="M283" s="12"/>
      <c r="N283" s="14"/>
      <c r="O283" s="12"/>
      <c r="P283" s="14"/>
      <c r="Q283" s="12"/>
      <c r="R283" s="12"/>
      <c r="S283" s="10"/>
      <c r="T283" s="10"/>
    </row>
    <row r="284" spans="1:20" x14ac:dyDescent="0.15">
      <c r="A284" s="26"/>
      <c r="B284" s="11" t="s">
        <v>71</v>
      </c>
      <c r="C284" s="12"/>
      <c r="D284" s="13"/>
      <c r="E284" s="12"/>
      <c r="F284" s="14"/>
      <c r="G284" s="12"/>
      <c r="H284" s="14"/>
      <c r="I284" s="12"/>
      <c r="J284" s="14"/>
      <c r="K284" s="12"/>
      <c r="L284" s="14"/>
      <c r="M284" s="12"/>
      <c r="N284" s="14"/>
      <c r="O284" s="12"/>
      <c r="P284" s="14"/>
      <c r="Q284" s="12"/>
      <c r="R284" s="12"/>
      <c r="S284" s="10"/>
      <c r="T284" s="10"/>
    </row>
    <row r="285" spans="1:20" x14ac:dyDescent="0.15">
      <c r="A285" s="26"/>
      <c r="B285" s="11" t="s">
        <v>72</v>
      </c>
      <c r="C285" s="12"/>
      <c r="D285" s="13"/>
      <c r="E285" s="12"/>
      <c r="F285" s="14"/>
      <c r="G285" s="12"/>
      <c r="H285" s="14"/>
      <c r="I285" s="12"/>
      <c r="J285" s="14"/>
      <c r="K285" s="12"/>
      <c r="L285" s="14"/>
      <c r="M285" s="12"/>
      <c r="N285" s="14"/>
      <c r="O285" s="12"/>
      <c r="P285" s="14"/>
      <c r="Q285" s="12"/>
      <c r="R285" s="12"/>
      <c r="S285" s="10"/>
      <c r="T285" s="10"/>
    </row>
    <row r="286" spans="1:20" x14ac:dyDescent="0.15">
      <c r="A286" s="26"/>
      <c r="B286" s="11" t="s">
        <v>73</v>
      </c>
      <c r="C286" s="12"/>
      <c r="D286" s="13"/>
      <c r="E286" s="12"/>
      <c r="F286" s="14"/>
      <c r="G286" s="12"/>
      <c r="H286" s="14"/>
      <c r="I286" s="12"/>
      <c r="J286" s="14"/>
      <c r="K286" s="12"/>
      <c r="L286" s="14"/>
      <c r="M286" s="12"/>
      <c r="N286" s="14"/>
      <c r="O286" s="12"/>
      <c r="P286" s="14"/>
      <c r="Q286" s="12"/>
      <c r="R286" s="12"/>
      <c r="S286" s="10"/>
      <c r="T286" s="10"/>
    </row>
    <row r="287" spans="1:20" x14ac:dyDescent="0.15">
      <c r="A287" s="27"/>
      <c r="B287" s="15" t="s">
        <v>74</v>
      </c>
      <c r="C287" s="16"/>
      <c r="D287" s="17"/>
      <c r="E287" s="16"/>
      <c r="F287" s="18"/>
      <c r="G287" s="16"/>
      <c r="H287" s="18"/>
      <c r="I287" s="16"/>
      <c r="J287" s="18"/>
      <c r="K287" s="16"/>
      <c r="L287" s="18"/>
      <c r="M287" s="16"/>
      <c r="N287" s="18"/>
      <c r="O287" s="16"/>
      <c r="P287" s="18"/>
      <c r="Q287" s="16"/>
      <c r="R287" s="16"/>
      <c r="S287" s="10"/>
      <c r="T287" s="10"/>
    </row>
  </sheetData>
  <sheetProtection formatCells="0" formatColumns="0" formatRows="0" autoFilter="0"/>
  <mergeCells count="52">
    <mergeCell ref="A6:A11"/>
    <mergeCell ref="A2:A5"/>
    <mergeCell ref="B2:B5"/>
    <mergeCell ref="C2:R2"/>
    <mergeCell ref="C3:J3"/>
    <mergeCell ref="K3:R3"/>
    <mergeCell ref="A78:A83"/>
    <mergeCell ref="A12:A17"/>
    <mergeCell ref="A18:A23"/>
    <mergeCell ref="A24:A29"/>
    <mergeCell ref="A30:A35"/>
    <mergeCell ref="A36:A41"/>
    <mergeCell ref="A42:A47"/>
    <mergeCell ref="A48:A53"/>
    <mergeCell ref="A54:A59"/>
    <mergeCell ref="A60:A65"/>
    <mergeCell ref="A66:A71"/>
    <mergeCell ref="A72:A77"/>
    <mergeCell ref="A150:A155"/>
    <mergeCell ref="A84:A89"/>
    <mergeCell ref="A90:A95"/>
    <mergeCell ref="A96:A101"/>
    <mergeCell ref="A102:A107"/>
    <mergeCell ref="A108:A113"/>
    <mergeCell ref="A114:A119"/>
    <mergeCell ref="A120:A125"/>
    <mergeCell ref="A126:A131"/>
    <mergeCell ref="A132:A137"/>
    <mergeCell ref="A138:A143"/>
    <mergeCell ref="A144:A149"/>
    <mergeCell ref="A222:A227"/>
    <mergeCell ref="A156:A161"/>
    <mergeCell ref="A162:A167"/>
    <mergeCell ref="A168:A173"/>
    <mergeCell ref="A174:A179"/>
    <mergeCell ref="A180:A185"/>
    <mergeCell ref="A186:A191"/>
    <mergeCell ref="A192:A197"/>
    <mergeCell ref="A198:A203"/>
    <mergeCell ref="A204:A209"/>
    <mergeCell ref="A210:A215"/>
    <mergeCell ref="A216:A221"/>
    <mergeCell ref="A264:A269"/>
    <mergeCell ref="A270:A275"/>
    <mergeCell ref="A276:A281"/>
    <mergeCell ref="A282:A287"/>
    <mergeCell ref="A228:A233"/>
    <mergeCell ref="A234:A239"/>
    <mergeCell ref="A240:A245"/>
    <mergeCell ref="A246:A251"/>
    <mergeCell ref="A252:A257"/>
    <mergeCell ref="A258:A263"/>
  </mergeCells>
  <phoneticPr fontId="2"/>
  <printOptions horizontalCentered="1"/>
  <pageMargins left="0.19685039370078741" right="0.19685039370078741" top="0.78740157480314965" bottom="0.19685039370078741" header="0.31496062992125984" footer="0.31496062992125984"/>
  <pageSetup paperSize="9" scale="60" orientation="landscape" horizontalDpi="300" verticalDpi="300" r:id="rId1"/>
  <rowBreaks count="4" manualBreakCount="4">
    <brk id="65" max="16383" man="1"/>
    <brk id="125" max="16383" man="1"/>
    <brk id="185" max="16383" man="1"/>
    <brk id="2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results</vt:lpstr>
      <vt:lpstr>basic_data</vt:lpstr>
      <vt:lpstr>直接計算BMI</vt:lpstr>
      <vt:lpstr>BMI</vt:lpstr>
      <vt:lpstr>収縮期血圧</vt:lpstr>
      <vt:lpstr>BMI!Print_Area</vt:lpstr>
      <vt:lpstr>BMI!Print_Titles</vt:lpstr>
      <vt:lpstr>収縮期血圧!Print_Titles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ypu1</dc:creator>
  <cp:lastModifiedBy>Azetsu Tadahiro</cp:lastModifiedBy>
  <dcterms:created xsi:type="dcterms:W3CDTF">2021-06-20T03:00:05Z</dcterms:created>
  <dcterms:modified xsi:type="dcterms:W3CDTF">2024-03-27T03:48:49Z</dcterms:modified>
</cp:coreProperties>
</file>